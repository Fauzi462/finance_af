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81AE91E-178F-4C62-9BDD-6FF083B7A4A6}" xr6:coauthVersionLast="47" xr6:coauthVersionMax="47" xr10:uidLastSave="{00000000-0000-0000-0000-000000000000}"/>
  <bookViews>
    <workbookView xWindow="-120" yWindow="-120" windowWidth="20730" windowHeight="11040" activeTab="3" xr2:uid="{592CE06C-4AF2-4BE5-AA79-991972587B6D}"/>
  </bookViews>
  <sheets>
    <sheet name="Order Raw" sheetId="1" r:id="rId1"/>
    <sheet name="Forecasting" sheetId="5" r:id="rId2"/>
    <sheet name="Finance" sheetId="2" r:id="rId3"/>
    <sheet name="Final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5" i="3" l="1"/>
  <c r="M15" i="3"/>
  <c r="K15" i="3"/>
  <c r="L14" i="3"/>
  <c r="M14" i="3"/>
  <c r="K14" i="3"/>
  <c r="I9" i="3"/>
  <c r="F3" i="3"/>
  <c r="F4" i="3"/>
  <c r="F5" i="3"/>
  <c r="F6" i="3"/>
  <c r="F7" i="3"/>
  <c r="F8" i="3"/>
  <c r="F9" i="3"/>
  <c r="F2" i="3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2" i="1"/>
  <c r="E9" i="3"/>
  <c r="E5" i="3"/>
  <c r="E6" i="3"/>
  <c r="E8" i="3"/>
  <c r="E3" i="3"/>
  <c r="E10" i="3" s="1"/>
  <c r="C3" i="3"/>
  <c r="G3" i="3" s="1"/>
  <c r="C9" i="3"/>
  <c r="G9" i="3" s="1"/>
  <c r="C5" i="3"/>
  <c r="C6" i="3"/>
  <c r="G6" i="3" s="1"/>
  <c r="C8" i="3"/>
  <c r="G8" i="3" s="1"/>
  <c r="G5" i="3" l="1"/>
  <c r="C10" i="3"/>
  <c r="G10" i="3"/>
</calcChain>
</file>

<file path=xl/sharedStrings.xml><?xml version="1.0" encoding="utf-8"?>
<sst xmlns="http://schemas.openxmlformats.org/spreadsheetml/2006/main" count="4248" uniqueCount="468">
  <si>
    <t>Order ID</t>
  </si>
  <si>
    <t>Country origin</t>
  </si>
  <si>
    <t>Origin Code</t>
  </si>
  <si>
    <t>Buyer segment</t>
  </si>
  <si>
    <t>Segment Code</t>
  </si>
  <si>
    <t>Product name</t>
  </si>
  <si>
    <t>Manufacturing cost</t>
  </si>
  <si>
    <t>Selling price</t>
  </si>
  <si>
    <t>Qty sold</t>
  </si>
  <si>
    <t>Discount %</t>
  </si>
  <si>
    <t>Total price</t>
  </si>
  <si>
    <t>Total discount</t>
  </si>
  <si>
    <t>Revenue</t>
  </si>
  <si>
    <t>Total manufacturing cost</t>
  </si>
  <si>
    <t>Gross profit</t>
  </si>
  <si>
    <t>DATE</t>
  </si>
  <si>
    <t>MONTH</t>
  </si>
  <si>
    <t>YEAR</t>
  </si>
  <si>
    <t>Order date</t>
  </si>
  <si>
    <t>ORD-CND-GOV-20140101</t>
  </si>
  <si>
    <t>Canada</t>
  </si>
  <si>
    <t>CND</t>
  </si>
  <si>
    <t>Government</t>
  </si>
  <si>
    <t>GOV</t>
  </si>
  <si>
    <t>Carretera</t>
  </si>
  <si>
    <t>ORD-GER-GOV-20140101</t>
  </si>
  <si>
    <t>Germany</t>
  </si>
  <si>
    <t>GER</t>
  </si>
  <si>
    <t>ORD-FRA-MDM-20140601</t>
  </si>
  <si>
    <t>France</t>
  </si>
  <si>
    <t>FRA</t>
  </si>
  <si>
    <t>Midmarket</t>
  </si>
  <si>
    <t>MDM</t>
  </si>
  <si>
    <t>ORD-GER-MDM-20140601</t>
  </si>
  <si>
    <t>ORD-MXC-MDM-20140601</t>
  </si>
  <si>
    <t>Mexico</t>
  </si>
  <si>
    <t>MXC</t>
  </si>
  <si>
    <t>ORD-GER-GOV-20141201</t>
  </si>
  <si>
    <t>ORD-GER-MDM-20140301</t>
  </si>
  <si>
    <t>Montana</t>
  </si>
  <si>
    <t>ORD-CND-CPR-20140601</t>
  </si>
  <si>
    <t>Channel Partners</t>
  </si>
  <si>
    <t>CPR</t>
  </si>
  <si>
    <t>ORD-FRA-GOV-20140601</t>
  </si>
  <si>
    <t>ORD-GER-CPR-20140601</t>
  </si>
  <si>
    <t>ORD-CND-ENT-20140701</t>
  </si>
  <si>
    <t>Enterprise</t>
  </si>
  <si>
    <t>ENT</t>
  </si>
  <si>
    <t>ORD-MXC-SMB-20140801</t>
  </si>
  <si>
    <t>Small Business</t>
  </si>
  <si>
    <t>SMB</t>
  </si>
  <si>
    <t>ORD-GER-GOV-20140901</t>
  </si>
  <si>
    <t>ORD-CND-ENT-20131001</t>
  </si>
  <si>
    <t>ORD-USA-MDM-20141201</t>
  </si>
  <si>
    <t>United States of America</t>
  </si>
  <si>
    <t>USA</t>
  </si>
  <si>
    <t>ORD-CND-GOV-20140201</t>
  </si>
  <si>
    <t>Paseo</t>
  </si>
  <si>
    <t>ORD-MXC-MDM-20140201</t>
  </si>
  <si>
    <t>ORD-GER-GOV-20140601</t>
  </si>
  <si>
    <t>ORD-GER-CPR-20140701</t>
  </si>
  <si>
    <t>ORD-MXC-GOV-20140801</t>
  </si>
  <si>
    <t>ORD-FRA-MDM-20130901</t>
  </si>
  <si>
    <t>ORD-MXC-SMB-20130901</t>
  </si>
  <si>
    <t>ORD-MXC-MDM-20140901</t>
  </si>
  <si>
    <t>ORD-USA-GOV-20141001</t>
  </si>
  <si>
    <t>ORD-CND-GOV-20131101</t>
  </si>
  <si>
    <t>ORD-USA-CPR-20131101</t>
  </si>
  <si>
    <t>ORD-CND-MDM-20131201</t>
  </si>
  <si>
    <t>ORD-CND-GOV-20141201</t>
  </si>
  <si>
    <t>ORD-MXC-GOV-20140101</t>
  </si>
  <si>
    <t>Velo</t>
  </si>
  <si>
    <t>ORD-FRA-ENT-20140201</t>
  </si>
  <si>
    <t>ORD-GER-CPR-20140301</t>
  </si>
  <si>
    <t>ORD-USA-ENT-20140801</t>
  </si>
  <si>
    <t>ORD-CND-SMB-20140201</t>
  </si>
  <si>
    <t>VTT</t>
  </si>
  <si>
    <t>ORD-GER-CPR-20140401</t>
  </si>
  <si>
    <t>ORD-FRA-GOV-20130901</t>
  </si>
  <si>
    <t>ORD-FRA-SMB-20140901</t>
  </si>
  <si>
    <t>ORD-FRA-GOV-20140201</t>
  </si>
  <si>
    <t>Amarilla</t>
  </si>
  <si>
    <t>ORD-USA-CPR-20140401</t>
  </si>
  <si>
    <t>ORD-GER-ENT-20140401</t>
  </si>
  <si>
    <t>ORD-GER-GOV-20140701</t>
  </si>
  <si>
    <t>ORD-USA-CPR-20140801</t>
  </si>
  <si>
    <t>ORD-FRA-GOV-20140101</t>
  </si>
  <si>
    <t>ORD-FRA-MDM-20140201</t>
  </si>
  <si>
    <t>ORD-FRA-GOV-20140501</t>
  </si>
  <si>
    <t>ORD-FRA-GOV-20141101</t>
  </si>
  <si>
    <t>ORD-CND-GOV-20140301</t>
  </si>
  <si>
    <t>ORD-USA-CPR-20140201</t>
  </si>
  <si>
    <t>ORD-MXC-GOV-20140301</t>
  </si>
  <si>
    <t>ORD-USA-GOV-20140701</t>
  </si>
  <si>
    <t>ORD-CND-CPR-20140901</t>
  </si>
  <si>
    <t>ORD-USA-ENT-20130901</t>
  </si>
  <si>
    <t>ORD-FRA-CPR-20140901</t>
  </si>
  <si>
    <t>ORD-GER-CPR-20131001</t>
  </si>
  <si>
    <t>ORD-MXC-SMB-20131001</t>
  </si>
  <si>
    <t>ORD-MXC-GOV-20141001</t>
  </si>
  <si>
    <t>ORD-FRA-GOV-20141201</t>
  </si>
  <si>
    <t>ORD-MXC-MDM-20140301</t>
  </si>
  <si>
    <t>ORD-USA-SMB-20140401</t>
  </si>
  <si>
    <t>ORD-FRA-GOV-20140701</t>
  </si>
  <si>
    <t>ORD-CND-GOV-20140801</t>
  </si>
  <si>
    <t>ORD-USA-SMB-20130901</t>
  </si>
  <si>
    <t>ORD-USA-ENT-20131001</t>
  </si>
  <si>
    <t>ORD-USA-MDM-20140201</t>
  </si>
  <si>
    <t>ORD-USA-GOV-20140401</t>
  </si>
  <si>
    <t>ORD-USA-ENT-20140601</t>
  </si>
  <si>
    <t>ORD-FRA-ENT-20140601</t>
  </si>
  <si>
    <t>ORD-MXC-ENT-20140701</t>
  </si>
  <si>
    <t>ORD-GER-MDM-20140901</t>
  </si>
  <si>
    <t>ORD-USA-SMB-20141101</t>
  </si>
  <si>
    <t>ORD-FRA-GOV-20140401</t>
  </si>
  <si>
    <t>ORD-MXC-GOV-20140501</t>
  </si>
  <si>
    <t>ORD-CND-ENT-20140801</t>
  </si>
  <si>
    <t>ORD-GER-GOV-20140301</t>
  </si>
  <si>
    <t>ORD-CND-GOV-20140401</t>
  </si>
  <si>
    <t>ORD-GER-SMB-20140901</t>
  </si>
  <si>
    <t>ORD-FRA-ENT-20141101</t>
  </si>
  <si>
    <t>ORD-USA-CPR-20130901</t>
  </si>
  <si>
    <t>ORD-FRA-MDM-20131101</t>
  </si>
  <si>
    <t>ORD-CND-ENT-20140401</t>
  </si>
  <si>
    <t>ORD-CND-CPR-20141001</t>
  </si>
  <si>
    <t>ORD-GER-SMB-20131001</t>
  </si>
  <si>
    <t>ORD-FRA-GOV-20131101</t>
  </si>
  <si>
    <t>ORD-USA-CPR-20140601</t>
  </si>
  <si>
    <t>ORD-MXC-CPR-20141101</t>
  </si>
  <si>
    <t>ORD-MXC-ENT-20131101</t>
  </si>
  <si>
    <t>ORD-CND-MDM-20140201</t>
  </si>
  <si>
    <t>ORD-FRA-SMB-20140501</t>
  </si>
  <si>
    <t>ORD-GER-SMB-20140501</t>
  </si>
  <si>
    <t>ORD-MXC-ENT-20140601</t>
  </si>
  <si>
    <t>ORD-GER-ENT-20131001</t>
  </si>
  <si>
    <t>ORD-MXC-ENT-20131001</t>
  </si>
  <si>
    <t>ORD-FRA-CPR-20131101</t>
  </si>
  <si>
    <t>ORD-CND-SMB-20141201</t>
  </si>
  <si>
    <t>ORD-CND-ENT-20141201</t>
  </si>
  <si>
    <t>ORD-USA-MDM-20131201</t>
  </si>
  <si>
    <t>ORD-USA-GOV-20131201</t>
  </si>
  <si>
    <t>ORD-FRA-CPR-20141201</t>
  </si>
  <si>
    <t>ORD-MXC-CPR-20141201</t>
  </si>
  <si>
    <t>ORD-GER-GOV-20131001</t>
  </si>
  <si>
    <t>ORD-GER-GOV-20141001</t>
  </si>
  <si>
    <t>ORD-MXC-GOV-20131201</t>
  </si>
  <si>
    <t>ORD-GER-SMB-20140301</t>
  </si>
  <si>
    <t>ORD-MXC-SMB-20140301</t>
  </si>
  <si>
    <t>ORD-GER-ENT-20140501</t>
  </si>
  <si>
    <t>ORD-USA-GOV-20141101</t>
  </si>
  <si>
    <t>ORD-FRA-ENT-20140401</t>
  </si>
  <si>
    <t>ORD-GER-GOV-20140401</t>
  </si>
  <si>
    <t>ORD-GER-SMB-20140601</t>
  </si>
  <si>
    <t>ORD-USA-CPR-20140901</t>
  </si>
  <si>
    <t>ORD-CND-CPR-20131201</t>
  </si>
  <si>
    <t>ORD-GER-GOV-20140201</t>
  </si>
  <si>
    <t>ORD-FRA-CPR-20140601</t>
  </si>
  <si>
    <t>ORD-FRA-GOV-20140901</t>
  </si>
  <si>
    <t>ORD-GER-GOV-20130901</t>
  </si>
  <si>
    <t>ORD-FRA-ENT-20141201</t>
  </si>
  <si>
    <t>ORD-GER-ENT-20141201</t>
  </si>
  <si>
    <t>ORD-FRA-SMB-20140101</t>
  </si>
  <si>
    <t>ORD-CND-ENT-20140301</t>
  </si>
  <si>
    <t>ORD-GER-ENT-20140601</t>
  </si>
  <si>
    <t>ORD-USA-CPR-20140701</t>
  </si>
  <si>
    <t>ORD-CND-ENT-20141001</t>
  </si>
  <si>
    <t>ORD-GER-MDM-20131001</t>
  </si>
  <si>
    <t>ORD-USA-SMB-20140201</t>
  </si>
  <si>
    <t>ORD-MXC-CPR-20140401</t>
  </si>
  <si>
    <t>ORD-CND-SMB-20140801</t>
  </si>
  <si>
    <t>ORD-CND-GOV-20140501</t>
  </si>
  <si>
    <t>ORD-MXC-GOV-20130901</t>
  </si>
  <si>
    <t>ORD-GER-CPR-20140101</t>
  </si>
  <si>
    <t>ORD-MXC-MDM-20141001</t>
  </si>
  <si>
    <t>ORD-FRA-MDM-20131201</t>
  </si>
  <si>
    <t>ORD-USA-GOV-20130901</t>
  </si>
  <si>
    <t>ORD-CND-GOV-20131001</t>
  </si>
  <si>
    <t>ORD-GER-SMB-20141001</t>
  </si>
  <si>
    <t>ORD-USA-GOV-20141201</t>
  </si>
  <si>
    <t>ORD-CND-MDM-20140301</t>
  </si>
  <si>
    <t>ORD-GER-SMB-20140801</t>
  </si>
  <si>
    <t>ORD-MXC-ENT-20141201</t>
  </si>
  <si>
    <t>ORD-GER-ENT-20140301</t>
  </si>
  <si>
    <t>ORD-GER-SMB-20140401</t>
  </si>
  <si>
    <t>ORD-USA-SMB-20140501</t>
  </si>
  <si>
    <t>ORD-FRA-ENT-20140701</t>
  </si>
  <si>
    <t>ORD-CND-MDM-20140901</t>
  </si>
  <si>
    <t>ORD-CND-GOV-20140901</t>
  </si>
  <si>
    <t>ORD-USA-GOV-20140901</t>
  </si>
  <si>
    <t>ORD-USA-MDM-20131001</t>
  </si>
  <si>
    <t>ORD-MXC-MDM-20131001</t>
  </si>
  <si>
    <t>ORD-USA-CPR-20140301</t>
  </si>
  <si>
    <t>ORD-CND-GOV-20130901</t>
  </si>
  <si>
    <t>ORD-FRA-GOV-20141001</t>
  </si>
  <si>
    <t>ORD-FRA-CPR-20140501</t>
  </si>
  <si>
    <t>ORD-MXC-GOV-20140201</t>
  </si>
  <si>
    <t>ORD-MXC-ENT-20140401</t>
  </si>
  <si>
    <t>ORD-CND-GOV-20131201</t>
  </si>
  <si>
    <t>ORD-CND-CPR-20141201</t>
  </si>
  <si>
    <t>ORD-MXC-GOV-20140701</t>
  </si>
  <si>
    <t>ORD-MXC-CPR-20140801</t>
  </si>
  <si>
    <t>ORD-FRA-CPR-20140201</t>
  </si>
  <si>
    <t>ORD-GER-CPR-20140201</t>
  </si>
  <si>
    <t>ORD-USA-SMB-20140601</t>
  </si>
  <si>
    <t>ORD-GER-GOV-20131101</t>
  </si>
  <si>
    <t>ORD-MXC-MDM-20141101</t>
  </si>
  <si>
    <t>ORD-USA-ENT-20140701</t>
  </si>
  <si>
    <t>ORD-GER-CPR-20141101</t>
  </si>
  <si>
    <t>ORD-MXC-SMB-20131201</t>
  </si>
  <si>
    <t>ORD-USA-ENT-20140301</t>
  </si>
  <si>
    <t>ORD-FRA-ENT-20140301</t>
  </si>
  <si>
    <t>ORD-MXC-SMB-20140401</t>
  </si>
  <si>
    <t>ORD-USA-GOV-20140501</t>
  </si>
  <si>
    <t>ORD-USA-GOV-20140601</t>
  </si>
  <si>
    <t>ORD-FRA-MDM-20140901</t>
  </si>
  <si>
    <t>ORD-USA-ENT-20141001</t>
  </si>
  <si>
    <t>ORD-FRA-ENT-20131001</t>
  </si>
  <si>
    <t>ORD-FRA-GOV-20131201</t>
  </si>
  <si>
    <t>ORD-GER-MDM-20131201</t>
  </si>
  <si>
    <t>ORD-USA-MDM-20140101</t>
  </si>
  <si>
    <t>ORD-MXC-MDM-20140101</t>
  </si>
  <si>
    <t>ORD-GER-ENT-20140201</t>
  </si>
  <si>
    <t>ORD-USA-GOV-20140801</t>
  </si>
  <si>
    <t>ORD-FRA-GOV-20140801</t>
  </si>
  <si>
    <t>ORD-GER-SMB-20141201</t>
  </si>
  <si>
    <t>ORD-USA-GOV-20131101</t>
  </si>
  <si>
    <t>ORD-FRA-MDM-20140401</t>
  </si>
  <si>
    <t>ORD-USA-GOV-20140101</t>
  </si>
  <si>
    <t>ORD-CND-MDM-20140601</t>
  </si>
  <si>
    <t>ORD-MXC-CPR-20140901</t>
  </si>
  <si>
    <t>ORD-CND-CPR-20131001</t>
  </si>
  <si>
    <t>ORD-USA-MDM-20141101</t>
  </si>
  <si>
    <t>ORD-GER-ENT-20131201</t>
  </si>
  <si>
    <t>ORD-MXC-GOV-20140401</t>
  </si>
  <si>
    <t>ORD-GER-GOV-20140501</t>
  </si>
  <si>
    <t>ORD-FRA-GOV-20131001</t>
  </si>
  <si>
    <t>ORD-USA-CPR-20141101</t>
  </si>
  <si>
    <t>ORD-USA-GOV-20131001</t>
  </si>
  <si>
    <t>ORD-CND-ENT-20140201</t>
  </si>
  <si>
    <t>ORD-USA-ENT-20140201</t>
  </si>
  <si>
    <t>ORD-GER-MDM-20140501</t>
  </si>
  <si>
    <t>ORD-MXC-GOV-20140601</t>
  </si>
  <si>
    <t>ORD-FRA-SMB-20131001</t>
  </si>
  <si>
    <t>ORD-MXC-GOV-20131101</t>
  </si>
  <si>
    <t>ORD-CND-SMB-20131201</t>
  </si>
  <si>
    <t>ORD-FRA-ENT-20140101</t>
  </si>
  <si>
    <t>ORD-MXC-GOV-20140901</t>
  </si>
  <si>
    <t>ORD-USA-MDM-20140801</t>
  </si>
  <si>
    <t>ORD-GER-MDM-20140801</t>
  </si>
  <si>
    <t>ORD-USA-MDM-20141001</t>
  </si>
  <si>
    <t>ORD-GER-GOV-20140801</t>
  </si>
  <si>
    <t>ORD-MXC-GOV-20141101</t>
  </si>
  <si>
    <t>ORD-MXC-CPR-20140201</t>
  </si>
  <si>
    <t>ORD-CND-CPR-20140801</t>
  </si>
  <si>
    <t>ORD-MXC-CPR-20140101</t>
  </si>
  <si>
    <t>ORD-FRA-CPR-20141101</t>
  </si>
  <si>
    <t>ORD-CND-MDM-20140501</t>
  </si>
  <si>
    <t>ORD-CND-GOV-20140601</t>
  </si>
  <si>
    <t>ORD-FRA-CPR-20140401</t>
  </si>
  <si>
    <t>ORD-GER-CPR-20130901</t>
  </si>
  <si>
    <t>ORD-USA-GOV-20140301</t>
  </si>
  <si>
    <t>ORD-FRA-SMB-20140601</t>
  </si>
  <si>
    <t>ORD-FRA-SMB-20141001</t>
  </si>
  <si>
    <t>ORD-GER-ENT-20131101</t>
  </si>
  <si>
    <t>ORD-CND-SMB-20140501</t>
  </si>
  <si>
    <t>ORD-GER-ENT-20140701</t>
  </si>
  <si>
    <t>ORD-FRA-MDM-20140801</t>
  </si>
  <si>
    <t>ORD-USA-MDM-20130901</t>
  </si>
  <si>
    <t>ORD-GER-SMB-20130901</t>
  </si>
  <si>
    <t>ORD-CND-SMB-20131101</t>
  </si>
  <si>
    <t>ORD-MXC-CPR-20131101</t>
  </si>
  <si>
    <t>ORD-GER-GOV-20131201</t>
  </si>
  <si>
    <t>ORD-FRA-SMB-20140701</t>
  </si>
  <si>
    <t>ORD-GER-ENT-20140901</t>
  </si>
  <si>
    <t>ORD-USA-SMB-20141201</t>
  </si>
  <si>
    <t>ORD-CND-CPR-20140101</t>
  </si>
  <si>
    <t>ORD-FRA-SMB-20140201</t>
  </si>
  <si>
    <t>ORD-MXC-SMB-20140201</t>
  </si>
  <si>
    <t>ORD-CND-ENT-20140501</t>
  </si>
  <si>
    <t>ORD-GER-ENT-20130901</t>
  </si>
  <si>
    <t>ORD-CND-GOV-20141101</t>
  </si>
  <si>
    <t>ORD-MXC-ENT-20140801</t>
  </si>
  <si>
    <t>ORD-FRA-MDM-20141101</t>
  </si>
  <si>
    <t>ORD-MXC-GOV-20141201</t>
  </si>
  <si>
    <t>ORD-FRA-MDM-20140301</t>
  </si>
  <si>
    <t>ORD-FRA-SMB-20140801</t>
  </si>
  <si>
    <t>ORD-CND-SMB-20130901</t>
  </si>
  <si>
    <t>ORD-GER-MDM-20141201</t>
  </si>
  <si>
    <t>ORD-MXC-ENT-20140301</t>
  </si>
  <si>
    <t>ORD-MXC-SMB-20140601</t>
  </si>
  <si>
    <t>ORD-CND-CPR-20140301</t>
  </si>
  <si>
    <t>ORD-FRA-SMB-20131101</t>
  </si>
  <si>
    <t>ORD-MXC-SMB-20141201</t>
  </si>
  <si>
    <t>ORD-CND-SMB-20140901</t>
  </si>
  <si>
    <t>ORD-USA-SMB-20131201</t>
  </si>
  <si>
    <t>ORD-GER-GOV-20141101</t>
  </si>
  <si>
    <t>ORD-MXC-CPR-20131201</t>
  </si>
  <si>
    <t>ORD-CND-SMB-20140601</t>
  </si>
  <si>
    <t>ORD-MXC-CPR-20131001</t>
  </si>
  <si>
    <t>ORD-CND-SMB-20140401</t>
  </si>
  <si>
    <t>ORD-FRA-SMB-20130901</t>
  </si>
  <si>
    <t>ORD-CND-CPR-20141101</t>
  </si>
  <si>
    <t>ORD-FRA-ENT-20131101</t>
  </si>
  <si>
    <t>ORD-USA-ENT-20141201</t>
  </si>
  <si>
    <t>ORD-GER-SMB-20131201</t>
  </si>
  <si>
    <t>ORD-MXC-SMB-20140101</t>
  </si>
  <si>
    <t>ORD-USA-MDM-20140401</t>
  </si>
  <si>
    <t>ORD-FRA-MDM-20141001</t>
  </si>
  <si>
    <t>ORD-FRA-SMB-20141101</t>
  </si>
  <si>
    <t>ORD-GER-CPR-20131101</t>
  </si>
  <si>
    <t>ORD-MXC-MDM-20140501</t>
  </si>
  <si>
    <t>ORD-CND-SMB-20140701</t>
  </si>
  <si>
    <t>ORD-CND-ENT-20140901</t>
  </si>
  <si>
    <t>ORD-MXC-ENT-20140901</t>
  </si>
  <si>
    <t>ORD-CND-GOV-20141001</t>
  </si>
  <si>
    <t>ORD-USA-CPR-20140101</t>
  </si>
  <si>
    <t>ORD-GER-SMB-20140201</t>
  </si>
  <si>
    <t>ORD-GER-CPR-20140501</t>
  </si>
  <si>
    <t>ORD-USA-SMB-20140901</t>
  </si>
  <si>
    <t>ORD-FRA-CPR-20130901</t>
  </si>
  <si>
    <t>ORD-MXC-ENT-20141101</t>
  </si>
  <si>
    <t>ORD-GER-MDM-20131101</t>
  </si>
  <si>
    <t>ORD-CND-GOV-20140701</t>
  </si>
  <si>
    <t>ORD-GER-CPR-20140901</t>
  </si>
  <si>
    <t>ORD-FRA-CPR-20140301</t>
  </si>
  <si>
    <t>ORD-MXC-MDM-20140401</t>
  </si>
  <si>
    <t>ORD-CND-MDM-20140701</t>
  </si>
  <si>
    <t>ORD-FRA-CPR-20131201</t>
  </si>
  <si>
    <t>ORD-USA-CPR-20131001</t>
  </si>
  <si>
    <t>ORD-USA-ENT-20140401</t>
  </si>
  <si>
    <t>ORD-FRA-ENT-20131201</t>
  </si>
  <si>
    <t>ORD-USA-ENT-20131101</t>
  </si>
  <si>
    <t>ORD-FRA-MDM-20141201</t>
  </si>
  <si>
    <t>ORD-FRA-GOV-20140301</t>
  </si>
  <si>
    <t>ORD-MXC-SMB-20140501</t>
  </si>
  <si>
    <t>ORD-FRA-MDM-20131001</t>
  </si>
  <si>
    <t>ORD-GER-MDM-20140101</t>
  </si>
  <si>
    <t>ORD-GER-MDM-20140401</t>
  </si>
  <si>
    <t>ORD-USA-MDM-20140501</t>
  </si>
  <si>
    <t>ORD-USA-ENT-20140901</t>
  </si>
  <si>
    <t>ORD-USA-SMB-20131001</t>
  </si>
  <si>
    <t>ORD-CND-ENT-20131201</t>
  </si>
  <si>
    <t>ORD-FRA-SMB-20141201</t>
  </si>
  <si>
    <t>ORD-MXC-ENT-20140501</t>
  </si>
  <si>
    <t>ORD-MXC-MDM-20140701</t>
  </si>
  <si>
    <t>ORD-MXC-SMB-20140901</t>
  </si>
  <si>
    <t>ORD-CND-ENT-20141101</t>
  </si>
  <si>
    <t>ORD-USA-ENT-20140101</t>
  </si>
  <si>
    <t>ORD-USA-SMB-20140301</t>
  </si>
  <si>
    <t>ORD-CND-CPR-20140401</t>
  </si>
  <si>
    <t>ORD-GER-CPR-20140801</t>
  </si>
  <si>
    <t>ORD-FRA-CPR-20131001</t>
  </si>
  <si>
    <t>ORD-CND-MDM-20140101</t>
  </si>
  <si>
    <t>ORD-GER-CPR-20141001</t>
  </si>
  <si>
    <t>ORD-MXC-CPR-20130901</t>
  </si>
  <si>
    <t>ORD-USA-MDM-20140701</t>
  </si>
  <si>
    <t>ORD-CND-CPR-20140201</t>
  </si>
  <si>
    <t>ORD-GER-SMB-20140701</t>
  </si>
  <si>
    <t>ORD-FRA-ENT-20141001</t>
  </si>
  <si>
    <t>ORD-CND-MDM-20131101</t>
  </si>
  <si>
    <t>ORD-MXC-MDM-20141201</t>
  </si>
  <si>
    <t>ORD-CND-SMB-20140101</t>
  </si>
  <si>
    <t>ORD-CND-CPR-20140701</t>
  </si>
  <si>
    <t>ORD-FRA-CPR-20140701</t>
  </si>
  <si>
    <t>ORD-MXC-MDM-20140801</t>
  </si>
  <si>
    <t>ORD-CND-SMB-20141101</t>
  </si>
  <si>
    <t>ORD-MXC-MDM-20130901</t>
  </si>
  <si>
    <t>ORD-MXC-GOV-20131001</t>
  </si>
  <si>
    <t>ORD-FRA-CPR-20140101</t>
  </si>
  <si>
    <t>ORD-MXC-ENT-20140101</t>
  </si>
  <si>
    <t>ORD-GER-ENT-20140101</t>
  </si>
  <si>
    <t>ORD-FRA-ENT-20140501</t>
  </si>
  <si>
    <t>ORD-MXC-ENT-20130901</t>
  </si>
  <si>
    <t>ORD-CND-ENT-20130901</t>
  </si>
  <si>
    <t>ORD-MXC-ENT-20141001</t>
  </si>
  <si>
    <t>ORD-CND-MDM-20141101</t>
  </si>
  <si>
    <t>ORD-USA-MDM-20140301</t>
  </si>
  <si>
    <t>ORD-FRA-SMB-20140401</t>
  </si>
  <si>
    <t>ORD-FRA-SMB-20131201</t>
  </si>
  <si>
    <t>ORD-USA-SMB-20140101</t>
  </si>
  <si>
    <t>ORD-GER-SMB-20141101</t>
  </si>
  <si>
    <t>ORD-MXC-SMB-20141101</t>
  </si>
  <si>
    <t>ORD-MXC-MDM-20131201</t>
  </si>
  <si>
    <t>ORD-CND-CPR-20140501</t>
  </si>
  <si>
    <t>ORD-FRA-MDM-20140701</t>
  </si>
  <si>
    <t>ORD-USA-ENT-20141101</t>
  </si>
  <si>
    <t>ORD-USA-GOV-20140201</t>
  </si>
  <si>
    <t>ORD-USA-MDM-20131101</t>
  </si>
  <si>
    <t>ORD-MXC-CPR-20140501</t>
  </si>
  <si>
    <t>ORD-CND-CPR-20130901</t>
  </si>
  <si>
    <t>ORD-USA-MDM-20140601</t>
  </si>
  <si>
    <t>ORD-MXC-CPR-20140601</t>
  </si>
  <si>
    <t>ORD-GER-SMB-20140101</t>
  </si>
  <si>
    <t>ORD-CND-ENT-20140601</t>
  </si>
  <si>
    <t>ORD-MXC-CPR-20140701</t>
  </si>
  <si>
    <t>ORD-CND-MDM-20141001</t>
  </si>
  <si>
    <t>ORD-GER-CPR-20141201</t>
  </si>
  <si>
    <t>ORD-FRA-MDM-20140101</t>
  </si>
  <si>
    <t>ORD-GER-MDM-20130901</t>
  </si>
  <si>
    <t>ORD-MXC-CPR-20141001</t>
  </si>
  <si>
    <t>ORD-MXC-SMB-20131101</t>
  </si>
  <si>
    <t>ORD-CND-ENT-20140101</t>
  </si>
  <si>
    <t>ORD-GER-CPR-20131201</t>
  </si>
  <si>
    <t>ORD-GER-MDM-20140201</t>
  </si>
  <si>
    <t>ORD-USA-MDM-20140901</t>
  </si>
  <si>
    <t>ORD-FRA-CPR-20141001</t>
  </si>
  <si>
    <t>ORD-USA-CPR-20131201</t>
  </si>
  <si>
    <t>ORD-MXC-SMB-20140701</t>
  </si>
  <si>
    <t>ORD-FRA-ENT-20130901</t>
  </si>
  <si>
    <t>ORD-CND-SMB-20141001</t>
  </si>
  <si>
    <t>ORD-USA-SMB-20141001</t>
  </si>
  <si>
    <t>ORD-GER-MDM-20141101</t>
  </si>
  <si>
    <t>ORD-CND-MDM-20141201</t>
  </si>
  <si>
    <t>ORD-MXC-ENT-20131201</t>
  </si>
  <si>
    <t>ORD-CND-MDM-20130901</t>
  </si>
  <si>
    <t>ORD-CND-MDM-20131001</t>
  </si>
  <si>
    <t>ORD-USA-CPR-20141001</t>
  </si>
  <si>
    <t>ORD-CND-CPR-20131101</t>
  </si>
  <si>
    <t>ORD-MXC-ENT-20140201</t>
  </si>
  <si>
    <t>ORD-USA-SMB-20140701</t>
  </si>
  <si>
    <t>ORD-CND-SMB-20131001</t>
  </si>
  <si>
    <t>ORD-GER-SMB-20131101</t>
  </si>
  <si>
    <t>ORD-USA-SMB-20140801</t>
  </si>
  <si>
    <t>ORD-CND-SMB-20140301</t>
  </si>
  <si>
    <t>ORD-USA-ENT-20140501</t>
  </si>
  <si>
    <t>ORD-FRA-CPR-20140801</t>
  </si>
  <si>
    <t>ORD-MXC-MDM-20131101</t>
  </si>
  <si>
    <t>ORD-FRA-ENT-20140801</t>
  </si>
  <si>
    <t>ORD-GER-ENT-20140801</t>
  </si>
  <si>
    <t>ORD-GER-ENT-20141001</t>
  </si>
  <si>
    <t>ORD-MXC-SMB-20141001</t>
  </si>
  <si>
    <t>ORD-CND-MDM-20140401</t>
  </si>
  <si>
    <t>ORD-CND-MDM-20140801</t>
  </si>
  <si>
    <t>ORD-GER-MDM-20141001</t>
  </si>
  <si>
    <t>ORD-USA-CPR-20141201</t>
  </si>
  <si>
    <t>ORD-MXC-CPR-20140301</t>
  </si>
  <si>
    <t>ORD-FRA-MDM-20140501</t>
  </si>
  <si>
    <t>ORD-FRA-ENT-20140901</t>
  </si>
  <si>
    <t>ORD-USA-SMB-20131101</t>
  </si>
  <si>
    <t>ORD-USA-ENT-20131201</t>
  </si>
  <si>
    <t>ORD-GER-MDM-20140701</t>
  </si>
  <si>
    <t>ORD-CND-ENT-20131101</t>
  </si>
  <si>
    <t>ORD-GER-ENT-20141101</t>
  </si>
  <si>
    <t>ORD-FRA-SMB-20140301</t>
  </si>
  <si>
    <t>ORD-USA-CPR-20140501</t>
  </si>
  <si>
    <t>Definition</t>
  </si>
  <si>
    <t>Value</t>
  </si>
  <si>
    <t>Year</t>
  </si>
  <si>
    <t>General expenses &amp; administrative expenses</t>
  </si>
  <si>
    <t>Cost for handling orders</t>
  </si>
  <si>
    <t>Taxes charged to the company</t>
  </si>
  <si>
    <t>Projected revenue</t>
  </si>
  <si>
    <t>Projected net profit</t>
  </si>
  <si>
    <t>Manufacturing Cost</t>
  </si>
  <si>
    <t>Gross Profit</t>
  </si>
  <si>
    <t>G&amp;A Cost</t>
  </si>
  <si>
    <t>Handling Cost</t>
  </si>
  <si>
    <t>Operating Profit</t>
  </si>
  <si>
    <t>Tax</t>
  </si>
  <si>
    <t>Net Profit</t>
  </si>
  <si>
    <t>Discount Tire</t>
  </si>
  <si>
    <t>2013-2014</t>
  </si>
  <si>
    <t>Forecasting</t>
  </si>
  <si>
    <t>Monthly Revenue</t>
  </si>
  <si>
    <t>Tanggal</t>
  </si>
  <si>
    <t>Prediksi</t>
  </si>
  <si>
    <t>Lower</t>
  </si>
  <si>
    <t>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</si>
</sst>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p&quot;* #,##0.00_-;\-&quot;Rp&quot;* #,##0.00_-;_-&quot;Rp&quot;* &quot;-&quot;??_-;_-@_-"/>
    <numFmt numFmtId="164" formatCode="_-[$$-409]* #,##0_ ;_-[$$-409]* \-#,##0\ ;_-[$$-409]* &quot;-&quot;??_ ;_-@_ "/>
    <numFmt numFmtId="165" formatCode="[$-13809]dd/mm/yyyy;@"/>
    <numFmt numFmtId="166" formatCode="[$$-409]#,##0"/>
    <numFmt numFmtId="167" formatCode="_-[$$-409]* #,##0.00_ ;_-[$$-409]* \-#,##0.00\ ;_-[$$-409]* &quot;-&quot;??_ ;_-@_ "/>
    <numFmt numFmtId="168" formatCode="mm/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0" applyNumberFormat="1"/>
    <xf numFmtId="9" fontId="0" fillId="0" borderId="0" xfId="1" applyFont="1"/>
    <xf numFmtId="165" fontId="0" fillId="0" borderId="0" xfId="0" applyNumberFormat="1"/>
    <xf numFmtId="0" fontId="0" fillId="0" borderId="1" xfId="0" applyBorder="1"/>
    <xf numFmtId="166" fontId="0" fillId="0" borderId="1" xfId="0" applyNumberFormat="1" applyBorder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0" xfId="0" applyNumberFormat="1"/>
    <xf numFmtId="9" fontId="0" fillId="0" borderId="0" xfId="1" applyFont="1" applyBorder="1"/>
    <xf numFmtId="9" fontId="0" fillId="0" borderId="0" xfId="0" applyNumberFormat="1"/>
    <xf numFmtId="167" fontId="0" fillId="0" borderId="0" xfId="0" applyNumberFormat="1"/>
    <xf numFmtId="17" fontId="0" fillId="0" borderId="0" xfId="0" applyNumberFormat="1"/>
    <xf numFmtId="0" fontId="3" fillId="0" borderId="1" xfId="0" applyFont="1" applyBorder="1" applyAlignment="1">
      <alignment horizontal="center" vertical="top"/>
    </xf>
    <xf numFmtId="168" fontId="3" fillId="0" borderId="1" xfId="0" applyNumberFormat="1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9">
    <dxf>
      <numFmt numFmtId="0" formatCode="General"/>
    </dxf>
    <dxf>
      <numFmt numFmtId="165" formatCode="[$-13809]dd/mm/yyyy;@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961E8D-111A-4740-9639-4B9E31138BE8}" name="Table1" displayName="Table1" ref="A1:V701" totalsRowShown="0">
  <autoFilter ref="A1:V701" xr:uid="{C8961E8D-111A-4740-9639-4B9E31138BE8}"/>
  <tableColumns count="22">
    <tableColumn id="1" xr3:uid="{7E3D15AE-911B-4CE5-98D1-3F7693A3C619}" name="Order ID"/>
    <tableColumn id="2" xr3:uid="{BBB9D94B-BF46-4B97-AB0E-EAC506FBF28B}" name="Country origin"/>
    <tableColumn id="3" xr3:uid="{7C2C8E42-FC26-46C8-A29B-1A6AE0B9568D}" name="Origin Code"/>
    <tableColumn id="4" xr3:uid="{4C643760-4B46-4848-8184-79ADC5687D1B}" name="Buyer segment"/>
    <tableColumn id="5" xr3:uid="{3F52F04D-579A-4F79-9903-21B9FE2351CB}" name="Segment Code"/>
    <tableColumn id="6" xr3:uid="{7489709E-837B-43E5-972F-B49592B6A935}" name="Product name"/>
    <tableColumn id="7" xr3:uid="{E04E3F8E-1637-4231-8EB9-BEF7724F441F}" name="Manufacturing cost" dataDxfId="8"/>
    <tableColumn id="8" xr3:uid="{108F9EE1-F4AD-47C2-AE33-ACAF42F806DB}" name="Selling price" dataDxfId="7"/>
    <tableColumn id="9" xr3:uid="{E7E07167-99D8-4924-88CA-BF2356B94080}" name="Qty sold"/>
    <tableColumn id="10" xr3:uid="{BB3962F5-EB90-4B68-8397-D1E19BFA3EE6}" name="Discount %" dataCellStyle="Percent"/>
    <tableColumn id="11" xr3:uid="{C1DD3A6A-1D44-44A3-BD8A-0ECC73FD26E8}" name="Total price" dataDxfId="6"/>
    <tableColumn id="12" xr3:uid="{2E350BF0-6B1F-4E65-B8C4-1A213C069571}" name="Total discount" dataDxfId="5"/>
    <tableColumn id="13" xr3:uid="{96EA64FC-E8A2-4BEE-A959-9E67D909EE1A}" name="Revenue" dataDxfId="4"/>
    <tableColumn id="14" xr3:uid="{D7AC0B6C-39C7-4345-8EB5-DD4814FBA790}" name="Total manufacturing cost" dataDxfId="3"/>
    <tableColumn id="15" xr3:uid="{24046E8B-7A84-433A-B35B-988E73B35E48}" name="Gross profit" dataDxfId="2"/>
    <tableColumn id="16" xr3:uid="{61C1F86F-893A-4071-85F8-A49BC194967C}" name="DATE"/>
    <tableColumn id="17" xr3:uid="{9621A893-1239-49EA-A6D6-7563BADB383F}" name="MONTH"/>
    <tableColumn id="18" xr3:uid="{3E2F669A-60F4-4B6C-AEDF-15E065ED07AC}" name="YEAR"/>
    <tableColumn id="19" xr3:uid="{F8EA0C27-71A2-4BF3-B6E8-7A4669B3182D}" name="Order date" dataDxfId="1"/>
    <tableColumn id="20" xr3:uid="{16B0D152-39AB-47C8-B84A-38BCE3942A91}" name="Discount Tire" dataDxfId="0">
      <calculatedColumnFormula>_xlfn.IFS(J2=0%,"No Discount",J2&lt;=3%,"Very Low Discount",J2&lt;=6%,"Low Discount",J2&lt;=9%,"Mid Discount",J2&lt;=12%,"High Discount",J2&lt;=15%,"Very High Discount")</calculatedColumnFormula>
    </tableColumn>
    <tableColumn id="21" xr3:uid="{DBD6EFD4-4474-4CE2-AE7A-D50A40BE311F}" name="Forecasting"/>
    <tableColumn id="22" xr3:uid="{FD88C3B3-DDAD-455A-97D4-9E73AFCAD3E9}" name="Monthly Revenu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6B12D-A706-4A6D-BC23-B9F10B6CDDC2}">
  <dimension ref="A1:V701"/>
  <sheetViews>
    <sheetView workbookViewId="0">
      <selection activeCell="Y7" sqref="Y7"/>
    </sheetView>
  </sheetViews>
  <sheetFormatPr defaultRowHeight="15" x14ac:dyDescent="0.25"/>
  <cols>
    <col min="1" max="1" width="24.140625" bestFit="1" customWidth="1"/>
    <col min="2" max="2" width="23.28515625" bestFit="1" customWidth="1"/>
    <col min="3" max="3" width="13.7109375" bestFit="1" customWidth="1"/>
    <col min="4" max="4" width="16.7109375" bestFit="1" customWidth="1"/>
    <col min="5" max="5" width="16.28515625" bestFit="1" customWidth="1"/>
    <col min="6" max="6" width="15.7109375" bestFit="1" customWidth="1"/>
    <col min="7" max="7" width="20.5703125" bestFit="1" customWidth="1"/>
    <col min="8" max="8" width="14.140625" bestFit="1" customWidth="1"/>
    <col min="9" max="9" width="10.5703125" bestFit="1" customWidth="1"/>
    <col min="10" max="10" width="13" bestFit="1" customWidth="1"/>
    <col min="11" max="11" width="12.42578125" customWidth="1"/>
    <col min="12" max="12" width="15.85546875" bestFit="1" customWidth="1"/>
    <col min="13" max="13" width="14" bestFit="1" customWidth="1"/>
    <col min="14" max="14" width="25.42578125" bestFit="1" customWidth="1"/>
    <col min="15" max="15" width="13.5703125" bestFit="1" customWidth="1"/>
    <col min="16" max="16" width="7.85546875" bestFit="1" customWidth="1"/>
    <col min="17" max="17" width="10.140625" customWidth="1"/>
    <col min="18" max="18" width="7.7109375" bestFit="1" customWidth="1"/>
    <col min="19" max="19" width="12.85546875" bestFit="1" customWidth="1"/>
    <col min="20" max="20" width="18" bestFit="1" customWidth="1"/>
    <col min="21" max="21" width="13.42578125" bestFit="1" customWidth="1"/>
    <col min="22" max="22" width="19.140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460</v>
      </c>
      <c r="U1" t="s">
        <v>462</v>
      </c>
      <c r="V1" t="s">
        <v>463</v>
      </c>
    </row>
    <row r="2" spans="1:22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s="1">
        <v>3</v>
      </c>
      <c r="H2" s="1">
        <v>20</v>
      </c>
      <c r="I2">
        <v>1618</v>
      </c>
      <c r="J2" s="2">
        <v>0</v>
      </c>
      <c r="K2" s="1">
        <v>32360</v>
      </c>
      <c r="L2" s="1">
        <v>0</v>
      </c>
      <c r="M2" s="1">
        <v>32360</v>
      </c>
      <c r="N2" s="1">
        <v>4854</v>
      </c>
      <c r="O2" s="1">
        <v>27506</v>
      </c>
      <c r="P2">
        <v>1</v>
      </c>
      <c r="Q2">
        <v>1</v>
      </c>
      <c r="R2">
        <v>2014</v>
      </c>
      <c r="S2" s="3">
        <v>41640</v>
      </c>
      <c r="T2" t="str">
        <f t="shared" ref="T2:T65" si="0">_xlfn.IFS(J2=0%,"No Discount",J2&lt;=3%,"Very Low Discount",J2&lt;=6%,"Low Discount",J2&lt;=9%,"Mid Discount",J2&lt;=12%,"High Discount",J2&lt;=15%,"Very High Discount")</f>
        <v>No Discount</v>
      </c>
      <c r="U2" s="12">
        <v>41518</v>
      </c>
      <c r="V2" s="11">
        <v>6117183.9499999983</v>
      </c>
    </row>
    <row r="3" spans="1:22" x14ac:dyDescent="0.25">
      <c r="A3" t="s">
        <v>25</v>
      </c>
      <c r="B3" t="s">
        <v>26</v>
      </c>
      <c r="C3" t="s">
        <v>27</v>
      </c>
      <c r="D3" t="s">
        <v>22</v>
      </c>
      <c r="E3" t="s">
        <v>23</v>
      </c>
      <c r="F3" t="s">
        <v>24</v>
      </c>
      <c r="G3" s="1">
        <v>3</v>
      </c>
      <c r="H3" s="1">
        <v>20</v>
      </c>
      <c r="I3">
        <v>1321</v>
      </c>
      <c r="J3" s="2">
        <v>0</v>
      </c>
      <c r="K3" s="1">
        <v>26420</v>
      </c>
      <c r="L3" s="1">
        <v>0</v>
      </c>
      <c r="M3" s="1">
        <v>26420</v>
      </c>
      <c r="N3" s="1">
        <v>3963</v>
      </c>
      <c r="O3" s="1">
        <v>22457</v>
      </c>
      <c r="P3">
        <v>1</v>
      </c>
      <c r="Q3">
        <v>1</v>
      </c>
      <c r="R3">
        <v>2014</v>
      </c>
      <c r="S3" s="3">
        <v>41640</v>
      </c>
      <c r="T3" t="str">
        <f t="shared" si="0"/>
        <v>No Discount</v>
      </c>
      <c r="U3" s="12">
        <v>41548</v>
      </c>
      <c r="V3" s="11">
        <v>11188753.5</v>
      </c>
    </row>
    <row r="4" spans="1:22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24</v>
      </c>
      <c r="G4" s="1">
        <v>3</v>
      </c>
      <c r="H4" s="1">
        <v>20</v>
      </c>
      <c r="I4">
        <v>2178</v>
      </c>
      <c r="J4" s="2">
        <v>0</v>
      </c>
      <c r="K4" s="1">
        <v>43560</v>
      </c>
      <c r="L4" s="1">
        <v>0</v>
      </c>
      <c r="M4" s="1">
        <v>43560</v>
      </c>
      <c r="N4" s="1">
        <v>6534</v>
      </c>
      <c r="O4" s="1">
        <v>37026</v>
      </c>
      <c r="P4">
        <v>1</v>
      </c>
      <c r="Q4">
        <v>6</v>
      </c>
      <c r="R4">
        <v>2014</v>
      </c>
      <c r="S4" s="3">
        <v>41791</v>
      </c>
      <c r="T4" t="str">
        <f t="shared" si="0"/>
        <v>No Discount</v>
      </c>
      <c r="U4" s="12">
        <v>41579</v>
      </c>
      <c r="V4" s="11">
        <v>7630026.9500000002</v>
      </c>
    </row>
    <row r="5" spans="1:22" x14ac:dyDescent="0.25">
      <c r="A5" t="s">
        <v>33</v>
      </c>
      <c r="B5" t="s">
        <v>26</v>
      </c>
      <c r="C5" t="s">
        <v>27</v>
      </c>
      <c r="D5" t="s">
        <v>31</v>
      </c>
      <c r="E5" t="s">
        <v>32</v>
      </c>
      <c r="F5" t="s">
        <v>24</v>
      </c>
      <c r="G5" s="1">
        <v>3</v>
      </c>
      <c r="H5" s="1">
        <v>20</v>
      </c>
      <c r="I5">
        <v>888</v>
      </c>
      <c r="J5" s="2">
        <v>0</v>
      </c>
      <c r="K5" s="1">
        <v>17760</v>
      </c>
      <c r="L5" s="1">
        <v>0</v>
      </c>
      <c r="M5" s="1">
        <v>17760</v>
      </c>
      <c r="N5" s="1">
        <v>2664</v>
      </c>
      <c r="O5" s="1">
        <v>15096</v>
      </c>
      <c r="P5">
        <v>1</v>
      </c>
      <c r="Q5">
        <v>6</v>
      </c>
      <c r="R5">
        <v>2014</v>
      </c>
      <c r="S5" s="3">
        <v>41791</v>
      </c>
      <c r="T5" t="str">
        <f t="shared" si="0"/>
        <v>No Discount</v>
      </c>
      <c r="U5" s="12">
        <v>41609</v>
      </c>
      <c r="V5" s="11">
        <v>6497387.0500000007</v>
      </c>
    </row>
    <row r="6" spans="1:22" x14ac:dyDescent="0.25">
      <c r="A6" t="s">
        <v>34</v>
      </c>
      <c r="B6" t="s">
        <v>35</v>
      </c>
      <c r="C6" t="s">
        <v>36</v>
      </c>
      <c r="D6" t="s">
        <v>31</v>
      </c>
      <c r="E6" t="s">
        <v>32</v>
      </c>
      <c r="F6" t="s">
        <v>24</v>
      </c>
      <c r="G6" s="1">
        <v>3</v>
      </c>
      <c r="H6" s="1">
        <v>20</v>
      </c>
      <c r="I6">
        <v>2470</v>
      </c>
      <c r="J6" s="2">
        <v>0</v>
      </c>
      <c r="K6" s="1">
        <v>49400</v>
      </c>
      <c r="L6" s="1">
        <v>0</v>
      </c>
      <c r="M6" s="1">
        <v>49400</v>
      </c>
      <c r="N6" s="1">
        <v>7410</v>
      </c>
      <c r="O6" s="1">
        <v>41990</v>
      </c>
      <c r="P6">
        <v>1</v>
      </c>
      <c r="Q6">
        <v>6</v>
      </c>
      <c r="R6">
        <v>2014</v>
      </c>
      <c r="S6" s="3">
        <v>41791</v>
      </c>
      <c r="T6" t="str">
        <f t="shared" si="0"/>
        <v>No Discount</v>
      </c>
      <c r="U6" s="12">
        <v>41640</v>
      </c>
      <c r="V6" s="11">
        <v>8236148.2257142868</v>
      </c>
    </row>
    <row r="7" spans="1:22" x14ac:dyDescent="0.25">
      <c r="A7" t="s">
        <v>37</v>
      </c>
      <c r="B7" t="s">
        <v>26</v>
      </c>
      <c r="C7" t="s">
        <v>27</v>
      </c>
      <c r="D7" t="s">
        <v>22</v>
      </c>
      <c r="E7" t="s">
        <v>23</v>
      </c>
      <c r="F7" t="s">
        <v>24</v>
      </c>
      <c r="G7" s="1">
        <v>3</v>
      </c>
      <c r="H7" s="1">
        <v>20</v>
      </c>
      <c r="I7">
        <v>1513</v>
      </c>
      <c r="J7" s="2">
        <v>0</v>
      </c>
      <c r="K7" s="1">
        <v>30260</v>
      </c>
      <c r="L7" s="1">
        <v>0</v>
      </c>
      <c r="M7" s="1">
        <v>30260</v>
      </c>
      <c r="N7" s="1">
        <v>4539</v>
      </c>
      <c r="O7" s="1">
        <v>25721</v>
      </c>
      <c r="P7">
        <v>1</v>
      </c>
      <c r="Q7">
        <v>12</v>
      </c>
      <c r="R7">
        <v>2014</v>
      </c>
      <c r="S7" s="3">
        <v>41974</v>
      </c>
      <c r="T7" t="str">
        <f t="shared" si="0"/>
        <v>No Discount</v>
      </c>
      <c r="U7" s="12">
        <v>41671</v>
      </c>
      <c r="V7" s="11">
        <v>7837279.5000000009</v>
      </c>
    </row>
    <row r="8" spans="1:22" x14ac:dyDescent="0.25">
      <c r="A8" t="s">
        <v>38</v>
      </c>
      <c r="B8" t="s">
        <v>26</v>
      </c>
      <c r="C8" t="s">
        <v>27</v>
      </c>
      <c r="D8" t="s">
        <v>31</v>
      </c>
      <c r="E8" t="s">
        <v>32</v>
      </c>
      <c r="F8" t="s">
        <v>39</v>
      </c>
      <c r="G8" s="1">
        <v>5</v>
      </c>
      <c r="H8" s="1">
        <v>15</v>
      </c>
      <c r="I8">
        <v>921</v>
      </c>
      <c r="J8" s="2">
        <v>0</v>
      </c>
      <c r="K8" s="1">
        <v>13815</v>
      </c>
      <c r="L8" s="1">
        <v>0</v>
      </c>
      <c r="M8" s="1">
        <v>13815</v>
      </c>
      <c r="N8" s="1">
        <v>4605</v>
      </c>
      <c r="O8" s="1">
        <v>9210</v>
      </c>
      <c r="P8">
        <v>1</v>
      </c>
      <c r="Q8">
        <v>3</v>
      </c>
      <c r="R8">
        <v>2014</v>
      </c>
      <c r="S8" s="3">
        <v>41699</v>
      </c>
      <c r="T8" t="str">
        <f t="shared" si="0"/>
        <v>No Discount</v>
      </c>
      <c r="U8" s="12">
        <v>41699</v>
      </c>
      <c r="V8" s="11">
        <v>6131979.2000000002</v>
      </c>
    </row>
    <row r="9" spans="1:22" x14ac:dyDescent="0.25">
      <c r="A9" t="s">
        <v>40</v>
      </c>
      <c r="B9" t="s">
        <v>20</v>
      </c>
      <c r="C9" t="s">
        <v>21</v>
      </c>
      <c r="D9" t="s">
        <v>41</v>
      </c>
      <c r="E9" t="s">
        <v>42</v>
      </c>
      <c r="F9" t="s">
        <v>39</v>
      </c>
      <c r="G9" s="1">
        <v>5</v>
      </c>
      <c r="H9" s="1">
        <v>15</v>
      </c>
      <c r="I9">
        <v>2518</v>
      </c>
      <c r="J9" s="2">
        <v>0</v>
      </c>
      <c r="K9" s="1">
        <v>37770</v>
      </c>
      <c r="L9" s="1">
        <v>0</v>
      </c>
      <c r="M9" s="1">
        <v>37770</v>
      </c>
      <c r="N9" s="1">
        <v>12590</v>
      </c>
      <c r="O9" s="1">
        <v>25180</v>
      </c>
      <c r="P9">
        <v>1</v>
      </c>
      <c r="Q9">
        <v>6</v>
      </c>
      <c r="R9">
        <v>2014</v>
      </c>
      <c r="S9" s="3">
        <v>41791</v>
      </c>
      <c r="T9" t="str">
        <f t="shared" si="0"/>
        <v>No Discount</v>
      </c>
      <c r="U9" s="12">
        <v>41730</v>
      </c>
      <c r="V9" s="11">
        <v>9126710.0599142853</v>
      </c>
    </row>
    <row r="10" spans="1:22" x14ac:dyDescent="0.25">
      <c r="A10" t="s">
        <v>43</v>
      </c>
      <c r="B10" t="s">
        <v>29</v>
      </c>
      <c r="C10" t="s">
        <v>30</v>
      </c>
      <c r="D10" t="s">
        <v>22</v>
      </c>
      <c r="E10" t="s">
        <v>23</v>
      </c>
      <c r="F10" t="s">
        <v>39</v>
      </c>
      <c r="G10" s="1">
        <v>5</v>
      </c>
      <c r="H10" s="1">
        <v>15</v>
      </c>
      <c r="I10">
        <v>1899</v>
      </c>
      <c r="J10" s="2">
        <v>0</v>
      </c>
      <c r="K10" s="1">
        <v>28485</v>
      </c>
      <c r="L10" s="1">
        <v>0</v>
      </c>
      <c r="M10" s="1">
        <v>28485</v>
      </c>
      <c r="N10" s="1">
        <v>9495</v>
      </c>
      <c r="O10" s="1">
        <v>18990</v>
      </c>
      <c r="P10">
        <v>1</v>
      </c>
      <c r="Q10">
        <v>6</v>
      </c>
      <c r="R10">
        <v>2014</v>
      </c>
      <c r="S10" s="3">
        <v>41791</v>
      </c>
      <c r="T10" t="str">
        <f t="shared" si="0"/>
        <v>No Discount</v>
      </c>
      <c r="U10" s="12">
        <v>41760</v>
      </c>
      <c r="V10" s="11">
        <v>6483235.5999999996</v>
      </c>
    </row>
    <row r="11" spans="1:22" x14ac:dyDescent="0.25">
      <c r="A11" t="s">
        <v>44</v>
      </c>
      <c r="B11" t="s">
        <v>26</v>
      </c>
      <c r="C11" t="s">
        <v>27</v>
      </c>
      <c r="D11" t="s">
        <v>41</v>
      </c>
      <c r="E11" t="s">
        <v>42</v>
      </c>
      <c r="F11" t="s">
        <v>39</v>
      </c>
      <c r="G11" s="1">
        <v>5</v>
      </c>
      <c r="H11" s="1">
        <v>15</v>
      </c>
      <c r="I11">
        <v>1545</v>
      </c>
      <c r="J11" s="2">
        <v>0</v>
      </c>
      <c r="K11" s="1">
        <v>23175</v>
      </c>
      <c r="L11" s="1">
        <v>0</v>
      </c>
      <c r="M11" s="1">
        <v>23175</v>
      </c>
      <c r="N11" s="1">
        <v>7725</v>
      </c>
      <c r="O11" s="1">
        <v>15450</v>
      </c>
      <c r="P11">
        <v>1</v>
      </c>
      <c r="Q11">
        <v>6</v>
      </c>
      <c r="R11">
        <v>2014</v>
      </c>
      <c r="S11" s="3">
        <v>41791</v>
      </c>
      <c r="T11" t="str">
        <f t="shared" si="0"/>
        <v>No Discount</v>
      </c>
      <c r="U11" s="12">
        <v>41791</v>
      </c>
      <c r="V11" s="11">
        <v>13302620.449999999</v>
      </c>
    </row>
    <row r="12" spans="1:22" x14ac:dyDescent="0.25">
      <c r="A12" t="s">
        <v>34</v>
      </c>
      <c r="B12" t="s">
        <v>35</v>
      </c>
      <c r="C12" t="s">
        <v>36</v>
      </c>
      <c r="D12" t="s">
        <v>31</v>
      </c>
      <c r="E12" t="s">
        <v>32</v>
      </c>
      <c r="F12" t="s">
        <v>39</v>
      </c>
      <c r="G12" s="1">
        <v>5</v>
      </c>
      <c r="H12" s="1">
        <v>15</v>
      </c>
      <c r="I12">
        <v>2470</v>
      </c>
      <c r="J12" s="2">
        <v>0</v>
      </c>
      <c r="K12" s="1">
        <v>37050</v>
      </c>
      <c r="L12" s="1">
        <v>0</v>
      </c>
      <c r="M12" s="1">
        <v>37050</v>
      </c>
      <c r="N12" s="1">
        <v>12350</v>
      </c>
      <c r="O12" s="1">
        <v>24700</v>
      </c>
      <c r="P12">
        <v>1</v>
      </c>
      <c r="Q12">
        <v>6</v>
      </c>
      <c r="R12">
        <v>2014</v>
      </c>
      <c r="S12" s="3">
        <v>41791</v>
      </c>
      <c r="T12" t="str">
        <f t="shared" si="0"/>
        <v>No Discount</v>
      </c>
      <c r="U12" s="12">
        <v>41821</v>
      </c>
      <c r="V12" s="11">
        <v>7899817.2416666662</v>
      </c>
    </row>
    <row r="13" spans="1:22" x14ac:dyDescent="0.25">
      <c r="A13" t="s">
        <v>45</v>
      </c>
      <c r="B13" t="s">
        <v>20</v>
      </c>
      <c r="C13" t="s">
        <v>21</v>
      </c>
      <c r="D13" t="s">
        <v>46</v>
      </c>
      <c r="E13" t="s">
        <v>47</v>
      </c>
      <c r="F13" t="s">
        <v>39</v>
      </c>
      <c r="G13" s="1">
        <v>5</v>
      </c>
      <c r="H13" s="1">
        <v>15</v>
      </c>
      <c r="I13">
        <v>2665</v>
      </c>
      <c r="J13" s="2">
        <v>0</v>
      </c>
      <c r="K13" s="1">
        <v>39975</v>
      </c>
      <c r="L13" s="1">
        <v>0</v>
      </c>
      <c r="M13" s="1">
        <v>39975</v>
      </c>
      <c r="N13" s="1">
        <v>13325</v>
      </c>
      <c r="O13" s="1">
        <v>26650</v>
      </c>
      <c r="P13">
        <v>1</v>
      </c>
      <c r="Q13">
        <v>7</v>
      </c>
      <c r="R13">
        <v>2014</v>
      </c>
      <c r="S13" s="3">
        <v>41821</v>
      </c>
      <c r="T13" t="str">
        <f t="shared" si="0"/>
        <v>No Discount</v>
      </c>
      <c r="U13" s="12">
        <v>41852</v>
      </c>
      <c r="V13" s="11">
        <v>7779475.6000000006</v>
      </c>
    </row>
    <row r="14" spans="1:22" x14ac:dyDescent="0.25">
      <c r="A14" t="s">
        <v>48</v>
      </c>
      <c r="B14" t="s">
        <v>35</v>
      </c>
      <c r="C14" t="s">
        <v>36</v>
      </c>
      <c r="D14" t="s">
        <v>49</v>
      </c>
      <c r="E14" t="s">
        <v>50</v>
      </c>
      <c r="F14" t="s">
        <v>39</v>
      </c>
      <c r="G14" s="1">
        <v>5</v>
      </c>
      <c r="H14" s="1">
        <v>15</v>
      </c>
      <c r="I14">
        <v>958</v>
      </c>
      <c r="J14" s="2">
        <v>0</v>
      </c>
      <c r="K14" s="1">
        <v>14370</v>
      </c>
      <c r="L14" s="1">
        <v>0</v>
      </c>
      <c r="M14" s="1">
        <v>14370</v>
      </c>
      <c r="N14" s="1">
        <v>4790</v>
      </c>
      <c r="O14" s="1">
        <v>9580</v>
      </c>
      <c r="P14">
        <v>1</v>
      </c>
      <c r="Q14">
        <v>8</v>
      </c>
      <c r="R14">
        <v>2014</v>
      </c>
      <c r="S14" s="3">
        <v>41852</v>
      </c>
      <c r="T14" t="str">
        <f t="shared" si="0"/>
        <v>No Discount</v>
      </c>
      <c r="U14" s="12">
        <v>41883</v>
      </c>
      <c r="V14" s="11">
        <v>6907868.9000000004</v>
      </c>
    </row>
    <row r="15" spans="1:22" x14ac:dyDescent="0.25">
      <c r="A15" t="s">
        <v>51</v>
      </c>
      <c r="B15" t="s">
        <v>26</v>
      </c>
      <c r="C15" t="s">
        <v>27</v>
      </c>
      <c r="D15" t="s">
        <v>22</v>
      </c>
      <c r="E15" t="s">
        <v>23</v>
      </c>
      <c r="F15" t="s">
        <v>39</v>
      </c>
      <c r="G15" s="1">
        <v>5</v>
      </c>
      <c r="H15" s="1">
        <v>15</v>
      </c>
      <c r="I15">
        <v>2146</v>
      </c>
      <c r="J15" s="2">
        <v>0</v>
      </c>
      <c r="K15" s="1">
        <v>32190</v>
      </c>
      <c r="L15" s="1">
        <v>0</v>
      </c>
      <c r="M15" s="1">
        <v>32190</v>
      </c>
      <c r="N15" s="1">
        <v>10730</v>
      </c>
      <c r="O15" s="1">
        <v>21460</v>
      </c>
      <c r="P15">
        <v>1</v>
      </c>
      <c r="Q15">
        <v>9</v>
      </c>
      <c r="R15">
        <v>2014</v>
      </c>
      <c r="S15" s="3">
        <v>41883</v>
      </c>
      <c r="T15" t="str">
        <f t="shared" si="0"/>
        <v>No Discount</v>
      </c>
      <c r="U15" s="12">
        <v>41913</v>
      </c>
      <c r="V15" s="11">
        <v>12611631.199999999</v>
      </c>
    </row>
    <row r="16" spans="1:22" x14ac:dyDescent="0.25">
      <c r="A16" t="s">
        <v>52</v>
      </c>
      <c r="B16" t="s">
        <v>20</v>
      </c>
      <c r="C16" t="s">
        <v>21</v>
      </c>
      <c r="D16" t="s">
        <v>46</v>
      </c>
      <c r="E16" t="s">
        <v>47</v>
      </c>
      <c r="F16" t="s">
        <v>39</v>
      </c>
      <c r="G16" s="1">
        <v>5</v>
      </c>
      <c r="H16" s="1">
        <v>15</v>
      </c>
      <c r="I16">
        <v>345</v>
      </c>
      <c r="J16" s="2">
        <v>0</v>
      </c>
      <c r="K16" s="1">
        <v>5175</v>
      </c>
      <c r="L16" s="1">
        <v>0</v>
      </c>
      <c r="M16" s="1">
        <v>5175</v>
      </c>
      <c r="N16" s="1">
        <v>1725</v>
      </c>
      <c r="O16" s="1">
        <v>3450</v>
      </c>
      <c r="P16">
        <v>1</v>
      </c>
      <c r="Q16">
        <v>10</v>
      </c>
      <c r="R16">
        <v>2013</v>
      </c>
      <c r="S16" s="3">
        <v>41548</v>
      </c>
      <c r="T16" t="str">
        <f t="shared" si="0"/>
        <v>No Discount</v>
      </c>
      <c r="U16" s="12">
        <v>41944</v>
      </c>
      <c r="V16" s="11">
        <v>6078227.9500000002</v>
      </c>
    </row>
    <row r="17" spans="1:22" x14ac:dyDescent="0.25">
      <c r="A17" t="s">
        <v>53</v>
      </c>
      <c r="B17" t="s">
        <v>54</v>
      </c>
      <c r="C17" t="s">
        <v>55</v>
      </c>
      <c r="D17" t="s">
        <v>31</v>
      </c>
      <c r="E17" t="s">
        <v>32</v>
      </c>
      <c r="F17" t="s">
        <v>39</v>
      </c>
      <c r="G17" s="1">
        <v>5</v>
      </c>
      <c r="H17" s="1">
        <v>15</v>
      </c>
      <c r="I17">
        <v>615</v>
      </c>
      <c r="J17" s="2">
        <v>0</v>
      </c>
      <c r="K17" s="1">
        <v>9225</v>
      </c>
      <c r="L17" s="1">
        <v>0</v>
      </c>
      <c r="M17" s="1">
        <v>9225</v>
      </c>
      <c r="N17" s="1">
        <v>3075</v>
      </c>
      <c r="O17" s="1">
        <v>6150</v>
      </c>
      <c r="P17">
        <v>1</v>
      </c>
      <c r="Q17">
        <v>12</v>
      </c>
      <c r="R17">
        <v>2014</v>
      </c>
      <c r="S17" s="3">
        <v>41974</v>
      </c>
      <c r="T17" t="str">
        <f t="shared" si="0"/>
        <v>No Discount</v>
      </c>
      <c r="U17" s="12">
        <v>41974</v>
      </c>
      <c r="V17" s="11">
        <v>11359852.649999999</v>
      </c>
    </row>
    <row r="18" spans="1:22" x14ac:dyDescent="0.25">
      <c r="A18" t="s">
        <v>56</v>
      </c>
      <c r="B18" t="s">
        <v>20</v>
      </c>
      <c r="C18" t="s">
        <v>21</v>
      </c>
      <c r="D18" t="s">
        <v>22</v>
      </c>
      <c r="E18" t="s">
        <v>23</v>
      </c>
      <c r="F18" t="s">
        <v>57</v>
      </c>
      <c r="G18" s="1">
        <v>10</v>
      </c>
      <c r="H18" s="1">
        <v>20</v>
      </c>
      <c r="I18">
        <v>292</v>
      </c>
      <c r="J18" s="2">
        <v>0</v>
      </c>
      <c r="K18" s="1">
        <v>5840</v>
      </c>
      <c r="L18" s="1">
        <v>0</v>
      </c>
      <c r="M18" s="1">
        <v>5840</v>
      </c>
      <c r="N18" s="1">
        <v>2920</v>
      </c>
      <c r="O18" s="1">
        <v>2920</v>
      </c>
      <c r="P18">
        <v>1</v>
      </c>
      <c r="Q18">
        <v>2</v>
      </c>
      <c r="R18">
        <v>2014</v>
      </c>
      <c r="S18" s="3">
        <v>41671</v>
      </c>
      <c r="T18" t="str">
        <f t="shared" si="0"/>
        <v>No Discount</v>
      </c>
    </row>
    <row r="19" spans="1:22" x14ac:dyDescent="0.25">
      <c r="A19" t="s">
        <v>58</v>
      </c>
      <c r="B19" t="s">
        <v>35</v>
      </c>
      <c r="C19" t="s">
        <v>36</v>
      </c>
      <c r="D19" t="s">
        <v>31</v>
      </c>
      <c r="E19" t="s">
        <v>32</v>
      </c>
      <c r="F19" t="s">
        <v>57</v>
      </c>
      <c r="G19" s="1">
        <v>10</v>
      </c>
      <c r="H19" s="1">
        <v>20</v>
      </c>
      <c r="I19">
        <v>974</v>
      </c>
      <c r="J19" s="2">
        <v>0</v>
      </c>
      <c r="K19" s="1">
        <v>19480</v>
      </c>
      <c r="L19" s="1">
        <v>0</v>
      </c>
      <c r="M19" s="1">
        <v>19480</v>
      </c>
      <c r="N19" s="1">
        <v>9740</v>
      </c>
      <c r="O19" s="1">
        <v>9740</v>
      </c>
      <c r="P19">
        <v>1</v>
      </c>
      <c r="Q19">
        <v>2</v>
      </c>
      <c r="R19">
        <v>2014</v>
      </c>
      <c r="S19" s="3">
        <v>41671</v>
      </c>
      <c r="T19" t="str">
        <f t="shared" si="0"/>
        <v>No Discount</v>
      </c>
    </row>
    <row r="20" spans="1:22" x14ac:dyDescent="0.25">
      <c r="A20" t="s">
        <v>40</v>
      </c>
      <c r="B20" t="s">
        <v>20</v>
      </c>
      <c r="C20" t="s">
        <v>21</v>
      </c>
      <c r="D20" t="s">
        <v>41</v>
      </c>
      <c r="E20" t="s">
        <v>42</v>
      </c>
      <c r="F20" t="s">
        <v>57</v>
      </c>
      <c r="G20" s="1">
        <v>10</v>
      </c>
      <c r="H20" s="1">
        <v>20</v>
      </c>
      <c r="I20">
        <v>2518</v>
      </c>
      <c r="J20" s="2">
        <v>0</v>
      </c>
      <c r="K20" s="1">
        <v>50360</v>
      </c>
      <c r="L20" s="1">
        <v>0</v>
      </c>
      <c r="M20" s="1">
        <v>50360</v>
      </c>
      <c r="N20" s="1">
        <v>25180</v>
      </c>
      <c r="O20" s="1">
        <v>25180</v>
      </c>
      <c r="P20">
        <v>1</v>
      </c>
      <c r="Q20">
        <v>6</v>
      </c>
      <c r="R20">
        <v>2014</v>
      </c>
      <c r="S20" s="3">
        <v>41791</v>
      </c>
      <c r="T20" t="str">
        <f t="shared" si="0"/>
        <v>No Discount</v>
      </c>
    </row>
    <row r="21" spans="1:22" x14ac:dyDescent="0.25">
      <c r="A21" t="s">
        <v>59</v>
      </c>
      <c r="B21" t="s">
        <v>26</v>
      </c>
      <c r="C21" t="s">
        <v>27</v>
      </c>
      <c r="D21" t="s">
        <v>22</v>
      </c>
      <c r="E21" t="s">
        <v>23</v>
      </c>
      <c r="F21" t="s">
        <v>57</v>
      </c>
      <c r="G21" s="1">
        <v>10</v>
      </c>
      <c r="H21" s="1">
        <v>20</v>
      </c>
      <c r="I21">
        <v>1006</v>
      </c>
      <c r="J21" s="2">
        <v>0</v>
      </c>
      <c r="K21" s="1">
        <v>20120</v>
      </c>
      <c r="L21" s="1">
        <v>0</v>
      </c>
      <c r="M21" s="1">
        <v>20120</v>
      </c>
      <c r="N21" s="1">
        <v>10060</v>
      </c>
      <c r="O21" s="1">
        <v>10060</v>
      </c>
      <c r="P21">
        <v>1</v>
      </c>
      <c r="Q21">
        <v>6</v>
      </c>
      <c r="R21">
        <v>2014</v>
      </c>
      <c r="S21" s="3">
        <v>41791</v>
      </c>
      <c r="T21" t="str">
        <f t="shared" si="0"/>
        <v>No Discount</v>
      </c>
    </row>
    <row r="22" spans="1:22" x14ac:dyDescent="0.25">
      <c r="A22" t="s">
        <v>60</v>
      </c>
      <c r="B22" t="s">
        <v>26</v>
      </c>
      <c r="C22" t="s">
        <v>27</v>
      </c>
      <c r="D22" t="s">
        <v>41</v>
      </c>
      <c r="E22" t="s">
        <v>42</v>
      </c>
      <c r="F22" t="s">
        <v>57</v>
      </c>
      <c r="G22" s="1">
        <v>10</v>
      </c>
      <c r="H22" s="1">
        <v>20</v>
      </c>
      <c r="I22">
        <v>367</v>
      </c>
      <c r="J22" s="2">
        <v>0</v>
      </c>
      <c r="K22" s="1">
        <v>7340</v>
      </c>
      <c r="L22" s="1">
        <v>0</v>
      </c>
      <c r="M22" s="1">
        <v>7340</v>
      </c>
      <c r="N22" s="1">
        <v>3670</v>
      </c>
      <c r="O22" s="1">
        <v>3670</v>
      </c>
      <c r="P22">
        <v>1</v>
      </c>
      <c r="Q22">
        <v>7</v>
      </c>
      <c r="R22">
        <v>2014</v>
      </c>
      <c r="S22" s="3">
        <v>41821</v>
      </c>
      <c r="T22" t="str">
        <f t="shared" si="0"/>
        <v>No Discount</v>
      </c>
    </row>
    <row r="23" spans="1:22" x14ac:dyDescent="0.25">
      <c r="A23" t="s">
        <v>61</v>
      </c>
      <c r="B23" t="s">
        <v>35</v>
      </c>
      <c r="C23" t="s">
        <v>36</v>
      </c>
      <c r="D23" t="s">
        <v>22</v>
      </c>
      <c r="E23" t="s">
        <v>23</v>
      </c>
      <c r="F23" t="s">
        <v>57</v>
      </c>
      <c r="G23" s="1">
        <v>10</v>
      </c>
      <c r="H23" s="1">
        <v>20</v>
      </c>
      <c r="I23">
        <v>883</v>
      </c>
      <c r="J23" s="2">
        <v>0</v>
      </c>
      <c r="K23" s="1">
        <v>17660</v>
      </c>
      <c r="L23" s="1">
        <v>0</v>
      </c>
      <c r="M23" s="1">
        <v>17660</v>
      </c>
      <c r="N23" s="1">
        <v>8830</v>
      </c>
      <c r="O23" s="1">
        <v>8830</v>
      </c>
      <c r="P23">
        <v>1</v>
      </c>
      <c r="Q23">
        <v>8</v>
      </c>
      <c r="R23">
        <v>2014</v>
      </c>
      <c r="S23" s="3">
        <v>41852</v>
      </c>
      <c r="T23" t="str">
        <f t="shared" si="0"/>
        <v>No Discount</v>
      </c>
    </row>
    <row r="24" spans="1:22" x14ac:dyDescent="0.25">
      <c r="A24" t="s">
        <v>62</v>
      </c>
      <c r="B24" t="s">
        <v>29</v>
      </c>
      <c r="C24" t="s">
        <v>30</v>
      </c>
      <c r="D24" t="s">
        <v>31</v>
      </c>
      <c r="E24" t="s">
        <v>32</v>
      </c>
      <c r="F24" t="s">
        <v>57</v>
      </c>
      <c r="G24" s="1">
        <v>10</v>
      </c>
      <c r="H24" s="1">
        <v>20</v>
      </c>
      <c r="I24">
        <v>549</v>
      </c>
      <c r="J24" s="2">
        <v>0</v>
      </c>
      <c r="K24" s="1">
        <v>10980</v>
      </c>
      <c r="L24" s="1">
        <v>0</v>
      </c>
      <c r="M24" s="1">
        <v>10980</v>
      </c>
      <c r="N24" s="1">
        <v>5490</v>
      </c>
      <c r="O24" s="1">
        <v>5490</v>
      </c>
      <c r="P24">
        <v>1</v>
      </c>
      <c r="Q24">
        <v>9</v>
      </c>
      <c r="R24">
        <v>2013</v>
      </c>
      <c r="S24" s="3">
        <v>41518</v>
      </c>
      <c r="T24" t="str">
        <f t="shared" si="0"/>
        <v>No Discount</v>
      </c>
    </row>
    <row r="25" spans="1:22" x14ac:dyDescent="0.25">
      <c r="A25" t="s">
        <v>63</v>
      </c>
      <c r="B25" t="s">
        <v>35</v>
      </c>
      <c r="C25" t="s">
        <v>36</v>
      </c>
      <c r="D25" t="s">
        <v>49</v>
      </c>
      <c r="E25" t="s">
        <v>50</v>
      </c>
      <c r="F25" t="s">
        <v>57</v>
      </c>
      <c r="G25" s="1">
        <v>10</v>
      </c>
      <c r="H25" s="1">
        <v>20</v>
      </c>
      <c r="I25">
        <v>788</v>
      </c>
      <c r="J25" s="2">
        <v>0</v>
      </c>
      <c r="K25" s="1">
        <v>15760</v>
      </c>
      <c r="L25" s="1">
        <v>0</v>
      </c>
      <c r="M25" s="1">
        <v>15760</v>
      </c>
      <c r="N25" s="1">
        <v>7880</v>
      </c>
      <c r="O25" s="1">
        <v>7880</v>
      </c>
      <c r="P25">
        <v>1</v>
      </c>
      <c r="Q25">
        <v>9</v>
      </c>
      <c r="R25">
        <v>2013</v>
      </c>
      <c r="S25" s="3">
        <v>41518</v>
      </c>
      <c r="T25" t="str">
        <f t="shared" si="0"/>
        <v>No Discount</v>
      </c>
    </row>
    <row r="26" spans="1:22" x14ac:dyDescent="0.25">
      <c r="A26" t="s">
        <v>64</v>
      </c>
      <c r="B26" t="s">
        <v>35</v>
      </c>
      <c r="C26" t="s">
        <v>36</v>
      </c>
      <c r="D26" t="s">
        <v>31</v>
      </c>
      <c r="E26" t="s">
        <v>32</v>
      </c>
      <c r="F26" t="s">
        <v>57</v>
      </c>
      <c r="G26" s="1">
        <v>10</v>
      </c>
      <c r="H26" s="1">
        <v>20</v>
      </c>
      <c r="I26">
        <v>2472</v>
      </c>
      <c r="J26" s="2">
        <v>0</v>
      </c>
      <c r="K26" s="1">
        <v>49440</v>
      </c>
      <c r="L26" s="1">
        <v>0</v>
      </c>
      <c r="M26" s="1">
        <v>49440</v>
      </c>
      <c r="N26" s="1">
        <v>24720</v>
      </c>
      <c r="O26" s="1">
        <v>24720</v>
      </c>
      <c r="P26">
        <v>1</v>
      </c>
      <c r="Q26">
        <v>9</v>
      </c>
      <c r="R26">
        <v>2014</v>
      </c>
      <c r="S26" s="3">
        <v>41883</v>
      </c>
      <c r="T26" t="str">
        <f t="shared" si="0"/>
        <v>No Discount</v>
      </c>
    </row>
    <row r="27" spans="1:22" x14ac:dyDescent="0.25">
      <c r="A27" t="s">
        <v>65</v>
      </c>
      <c r="B27" t="s">
        <v>54</v>
      </c>
      <c r="C27" t="s">
        <v>55</v>
      </c>
      <c r="D27" t="s">
        <v>22</v>
      </c>
      <c r="E27" t="s">
        <v>23</v>
      </c>
      <c r="F27" t="s">
        <v>57</v>
      </c>
      <c r="G27" s="1">
        <v>10</v>
      </c>
      <c r="H27" s="1">
        <v>20</v>
      </c>
      <c r="I27">
        <v>1143</v>
      </c>
      <c r="J27" s="2">
        <v>0</v>
      </c>
      <c r="K27" s="1">
        <v>22860</v>
      </c>
      <c r="L27" s="1">
        <v>0</v>
      </c>
      <c r="M27" s="1">
        <v>22860</v>
      </c>
      <c r="N27" s="1">
        <v>11430</v>
      </c>
      <c r="O27" s="1">
        <v>11430</v>
      </c>
      <c r="P27">
        <v>1</v>
      </c>
      <c r="Q27">
        <v>10</v>
      </c>
      <c r="R27">
        <v>2014</v>
      </c>
      <c r="S27" s="3">
        <v>41913</v>
      </c>
      <c r="T27" t="str">
        <f t="shared" si="0"/>
        <v>No Discount</v>
      </c>
    </row>
    <row r="28" spans="1:22" x14ac:dyDescent="0.25">
      <c r="A28" t="s">
        <v>66</v>
      </c>
      <c r="B28" t="s">
        <v>20</v>
      </c>
      <c r="C28" t="s">
        <v>21</v>
      </c>
      <c r="D28" t="s">
        <v>22</v>
      </c>
      <c r="E28" t="s">
        <v>23</v>
      </c>
      <c r="F28" t="s">
        <v>57</v>
      </c>
      <c r="G28" s="1">
        <v>10</v>
      </c>
      <c r="H28" s="1">
        <v>20</v>
      </c>
      <c r="I28">
        <v>1725</v>
      </c>
      <c r="J28" s="2">
        <v>0</v>
      </c>
      <c r="K28" s="1">
        <v>34500</v>
      </c>
      <c r="L28" s="1">
        <v>0</v>
      </c>
      <c r="M28" s="1">
        <v>34500</v>
      </c>
      <c r="N28" s="1">
        <v>17250</v>
      </c>
      <c r="O28" s="1">
        <v>17250</v>
      </c>
      <c r="P28">
        <v>1</v>
      </c>
      <c r="Q28">
        <v>11</v>
      </c>
      <c r="R28">
        <v>2013</v>
      </c>
      <c r="S28" s="3">
        <v>41579</v>
      </c>
      <c r="T28" t="str">
        <f t="shared" si="0"/>
        <v>No Discount</v>
      </c>
    </row>
    <row r="29" spans="1:22" x14ac:dyDescent="0.25">
      <c r="A29" t="s">
        <v>67</v>
      </c>
      <c r="B29" t="s">
        <v>54</v>
      </c>
      <c r="C29" t="s">
        <v>55</v>
      </c>
      <c r="D29" t="s">
        <v>41</v>
      </c>
      <c r="E29" t="s">
        <v>42</v>
      </c>
      <c r="F29" t="s">
        <v>57</v>
      </c>
      <c r="G29" s="1">
        <v>10</v>
      </c>
      <c r="H29" s="1">
        <v>20</v>
      </c>
      <c r="I29">
        <v>912</v>
      </c>
      <c r="J29" s="2">
        <v>0</v>
      </c>
      <c r="K29" s="1">
        <v>18240</v>
      </c>
      <c r="L29" s="1">
        <v>0</v>
      </c>
      <c r="M29" s="1">
        <v>18240</v>
      </c>
      <c r="N29" s="1">
        <v>9120</v>
      </c>
      <c r="O29" s="1">
        <v>9120</v>
      </c>
      <c r="P29">
        <v>1</v>
      </c>
      <c r="Q29">
        <v>11</v>
      </c>
      <c r="R29">
        <v>2013</v>
      </c>
      <c r="S29" s="3">
        <v>41579</v>
      </c>
      <c r="T29" t="str">
        <f t="shared" si="0"/>
        <v>No Discount</v>
      </c>
    </row>
    <row r="30" spans="1:22" x14ac:dyDescent="0.25">
      <c r="A30" t="s">
        <v>68</v>
      </c>
      <c r="B30" t="s">
        <v>20</v>
      </c>
      <c r="C30" t="s">
        <v>21</v>
      </c>
      <c r="D30" t="s">
        <v>31</v>
      </c>
      <c r="E30" t="s">
        <v>32</v>
      </c>
      <c r="F30" t="s">
        <v>57</v>
      </c>
      <c r="G30" s="1">
        <v>10</v>
      </c>
      <c r="H30" s="1">
        <v>20</v>
      </c>
      <c r="I30">
        <v>2152</v>
      </c>
      <c r="J30" s="2">
        <v>0</v>
      </c>
      <c r="K30" s="1">
        <v>43040</v>
      </c>
      <c r="L30" s="1">
        <v>0</v>
      </c>
      <c r="M30" s="1">
        <v>43040</v>
      </c>
      <c r="N30" s="1">
        <v>21520</v>
      </c>
      <c r="O30" s="1">
        <v>21520</v>
      </c>
      <c r="P30">
        <v>1</v>
      </c>
      <c r="Q30">
        <v>12</v>
      </c>
      <c r="R30">
        <v>2013</v>
      </c>
      <c r="S30" s="3">
        <v>41609</v>
      </c>
      <c r="T30" t="str">
        <f t="shared" si="0"/>
        <v>No Discount</v>
      </c>
    </row>
    <row r="31" spans="1:22" x14ac:dyDescent="0.25">
      <c r="A31" t="s">
        <v>69</v>
      </c>
      <c r="B31" t="s">
        <v>20</v>
      </c>
      <c r="C31" t="s">
        <v>21</v>
      </c>
      <c r="D31" t="s">
        <v>22</v>
      </c>
      <c r="E31" t="s">
        <v>23</v>
      </c>
      <c r="F31" t="s">
        <v>57</v>
      </c>
      <c r="G31" s="1">
        <v>10</v>
      </c>
      <c r="H31" s="1">
        <v>20</v>
      </c>
      <c r="I31">
        <v>1817</v>
      </c>
      <c r="J31" s="2">
        <v>0</v>
      </c>
      <c r="K31" s="1">
        <v>36340</v>
      </c>
      <c r="L31" s="1">
        <v>0</v>
      </c>
      <c r="M31" s="1">
        <v>36340</v>
      </c>
      <c r="N31" s="1">
        <v>18170</v>
      </c>
      <c r="O31" s="1">
        <v>18170</v>
      </c>
      <c r="P31">
        <v>1</v>
      </c>
      <c r="Q31">
        <v>12</v>
      </c>
      <c r="R31">
        <v>2014</v>
      </c>
      <c r="S31" s="3">
        <v>41974</v>
      </c>
      <c r="T31" t="str">
        <f t="shared" si="0"/>
        <v>No Discount</v>
      </c>
    </row>
    <row r="32" spans="1:22" x14ac:dyDescent="0.25">
      <c r="A32" t="s">
        <v>37</v>
      </c>
      <c r="B32" t="s">
        <v>26</v>
      </c>
      <c r="C32" t="s">
        <v>27</v>
      </c>
      <c r="D32" t="s">
        <v>22</v>
      </c>
      <c r="E32" t="s">
        <v>23</v>
      </c>
      <c r="F32" t="s">
        <v>57</v>
      </c>
      <c r="G32" s="1">
        <v>10</v>
      </c>
      <c r="H32" s="1">
        <v>20</v>
      </c>
      <c r="I32">
        <v>1513</v>
      </c>
      <c r="J32" s="2">
        <v>0</v>
      </c>
      <c r="K32" s="1">
        <v>30260</v>
      </c>
      <c r="L32" s="1">
        <v>0</v>
      </c>
      <c r="M32" s="1">
        <v>30260</v>
      </c>
      <c r="N32" s="1">
        <v>15130</v>
      </c>
      <c r="O32" s="1">
        <v>15130</v>
      </c>
      <c r="P32">
        <v>1</v>
      </c>
      <c r="Q32">
        <v>12</v>
      </c>
      <c r="R32">
        <v>2014</v>
      </c>
      <c r="S32" s="3">
        <v>41974</v>
      </c>
      <c r="T32" t="str">
        <f t="shared" si="0"/>
        <v>No Discount</v>
      </c>
    </row>
    <row r="33" spans="1:20" x14ac:dyDescent="0.25">
      <c r="A33" t="s">
        <v>70</v>
      </c>
      <c r="B33" t="s">
        <v>35</v>
      </c>
      <c r="C33" t="s">
        <v>36</v>
      </c>
      <c r="D33" t="s">
        <v>22</v>
      </c>
      <c r="E33" t="s">
        <v>23</v>
      </c>
      <c r="F33" t="s">
        <v>71</v>
      </c>
      <c r="G33" s="1">
        <v>120</v>
      </c>
      <c r="H33" s="1">
        <v>180</v>
      </c>
      <c r="I33">
        <v>1493</v>
      </c>
      <c r="J33" s="2">
        <v>0</v>
      </c>
      <c r="K33" s="1">
        <v>268740</v>
      </c>
      <c r="L33" s="1">
        <v>0</v>
      </c>
      <c r="M33" s="1">
        <v>268740</v>
      </c>
      <c r="N33" s="1">
        <v>179160</v>
      </c>
      <c r="O33" s="1">
        <v>89580</v>
      </c>
      <c r="P33">
        <v>1</v>
      </c>
      <c r="Q33">
        <v>1</v>
      </c>
      <c r="R33">
        <v>2014</v>
      </c>
      <c r="S33" s="3">
        <v>41640</v>
      </c>
      <c r="T33" t="str">
        <f t="shared" si="0"/>
        <v>No Discount</v>
      </c>
    </row>
    <row r="34" spans="1:20" x14ac:dyDescent="0.25">
      <c r="A34" t="s">
        <v>72</v>
      </c>
      <c r="B34" t="s">
        <v>29</v>
      </c>
      <c r="C34" t="s">
        <v>30</v>
      </c>
      <c r="D34" t="s">
        <v>46</v>
      </c>
      <c r="E34" t="s">
        <v>47</v>
      </c>
      <c r="F34" t="s">
        <v>71</v>
      </c>
      <c r="G34" s="1">
        <v>120</v>
      </c>
      <c r="H34" s="1">
        <v>180</v>
      </c>
      <c r="I34">
        <v>1804</v>
      </c>
      <c r="J34" s="2">
        <v>0</v>
      </c>
      <c r="K34" s="1">
        <v>324720</v>
      </c>
      <c r="L34" s="1">
        <v>0</v>
      </c>
      <c r="M34" s="1">
        <v>324720</v>
      </c>
      <c r="N34" s="1">
        <v>216480</v>
      </c>
      <c r="O34" s="1">
        <v>108240</v>
      </c>
      <c r="P34">
        <v>1</v>
      </c>
      <c r="Q34">
        <v>2</v>
      </c>
      <c r="R34">
        <v>2014</v>
      </c>
      <c r="S34" s="3">
        <v>41671</v>
      </c>
      <c r="T34" t="str">
        <f t="shared" si="0"/>
        <v>No Discount</v>
      </c>
    </row>
    <row r="35" spans="1:20" x14ac:dyDescent="0.25">
      <c r="A35" t="s">
        <v>73</v>
      </c>
      <c r="B35" t="s">
        <v>26</v>
      </c>
      <c r="C35" t="s">
        <v>27</v>
      </c>
      <c r="D35" t="s">
        <v>41</v>
      </c>
      <c r="E35" t="s">
        <v>42</v>
      </c>
      <c r="F35" t="s">
        <v>71</v>
      </c>
      <c r="G35" s="1">
        <v>120</v>
      </c>
      <c r="H35" s="1">
        <v>180</v>
      </c>
      <c r="I35">
        <v>2161</v>
      </c>
      <c r="J35" s="2">
        <v>0</v>
      </c>
      <c r="K35" s="1">
        <v>388980</v>
      </c>
      <c r="L35" s="1">
        <v>0</v>
      </c>
      <c r="M35" s="1">
        <v>388980</v>
      </c>
      <c r="N35" s="1">
        <v>259320</v>
      </c>
      <c r="O35" s="1">
        <v>129660</v>
      </c>
      <c r="P35">
        <v>1</v>
      </c>
      <c r="Q35">
        <v>3</v>
      </c>
      <c r="R35">
        <v>2014</v>
      </c>
      <c r="S35" s="3">
        <v>41699</v>
      </c>
      <c r="T35" t="str">
        <f t="shared" si="0"/>
        <v>No Discount</v>
      </c>
    </row>
    <row r="36" spans="1:20" x14ac:dyDescent="0.25">
      <c r="A36" t="s">
        <v>59</v>
      </c>
      <c r="B36" t="s">
        <v>26</v>
      </c>
      <c r="C36" t="s">
        <v>27</v>
      </c>
      <c r="D36" t="s">
        <v>22</v>
      </c>
      <c r="E36" t="s">
        <v>23</v>
      </c>
      <c r="F36" t="s">
        <v>71</v>
      </c>
      <c r="G36" s="1">
        <v>120</v>
      </c>
      <c r="H36" s="1">
        <v>180</v>
      </c>
      <c r="I36">
        <v>1006</v>
      </c>
      <c r="J36" s="2">
        <v>0</v>
      </c>
      <c r="K36" s="1">
        <v>181080</v>
      </c>
      <c r="L36" s="1">
        <v>0</v>
      </c>
      <c r="M36" s="1">
        <v>181080</v>
      </c>
      <c r="N36" s="1">
        <v>120720</v>
      </c>
      <c r="O36" s="1">
        <v>60360</v>
      </c>
      <c r="P36">
        <v>1</v>
      </c>
      <c r="Q36">
        <v>6</v>
      </c>
      <c r="R36">
        <v>2014</v>
      </c>
      <c r="S36" s="3">
        <v>41791</v>
      </c>
      <c r="T36" t="str">
        <f t="shared" si="0"/>
        <v>No Discount</v>
      </c>
    </row>
    <row r="37" spans="1:20" x14ac:dyDescent="0.25">
      <c r="A37" t="s">
        <v>44</v>
      </c>
      <c r="B37" t="s">
        <v>26</v>
      </c>
      <c r="C37" t="s">
        <v>27</v>
      </c>
      <c r="D37" t="s">
        <v>41</v>
      </c>
      <c r="E37" t="s">
        <v>42</v>
      </c>
      <c r="F37" t="s">
        <v>71</v>
      </c>
      <c r="G37" s="1">
        <v>120</v>
      </c>
      <c r="H37" s="1">
        <v>180</v>
      </c>
      <c r="I37">
        <v>1545</v>
      </c>
      <c r="J37" s="2">
        <v>0</v>
      </c>
      <c r="K37" s="1">
        <v>278100</v>
      </c>
      <c r="L37" s="1">
        <v>0</v>
      </c>
      <c r="M37" s="1">
        <v>278100</v>
      </c>
      <c r="N37" s="1">
        <v>185400</v>
      </c>
      <c r="O37" s="1">
        <v>92700</v>
      </c>
      <c r="P37">
        <v>1</v>
      </c>
      <c r="Q37">
        <v>6</v>
      </c>
      <c r="R37">
        <v>2014</v>
      </c>
      <c r="S37" s="3">
        <v>41791</v>
      </c>
      <c r="T37" t="str">
        <f t="shared" si="0"/>
        <v>No Discount</v>
      </c>
    </row>
    <row r="38" spans="1:20" x14ac:dyDescent="0.25">
      <c r="A38" t="s">
        <v>74</v>
      </c>
      <c r="B38" t="s">
        <v>54</v>
      </c>
      <c r="C38" t="s">
        <v>55</v>
      </c>
      <c r="D38" t="s">
        <v>46</v>
      </c>
      <c r="E38" t="s">
        <v>47</v>
      </c>
      <c r="F38" t="s">
        <v>71</v>
      </c>
      <c r="G38" s="1">
        <v>120</v>
      </c>
      <c r="H38" s="1">
        <v>180</v>
      </c>
      <c r="I38">
        <v>2821</v>
      </c>
      <c r="J38" s="2">
        <v>0</v>
      </c>
      <c r="K38" s="1">
        <v>507780</v>
      </c>
      <c r="L38" s="1">
        <v>0</v>
      </c>
      <c r="M38" s="1">
        <v>507780</v>
      </c>
      <c r="N38" s="1">
        <v>338520</v>
      </c>
      <c r="O38" s="1">
        <v>169260</v>
      </c>
      <c r="P38">
        <v>1</v>
      </c>
      <c r="Q38">
        <v>8</v>
      </c>
      <c r="R38">
        <v>2014</v>
      </c>
      <c r="S38" s="3">
        <v>41852</v>
      </c>
      <c r="T38" t="str">
        <f t="shared" si="0"/>
        <v>No Discount</v>
      </c>
    </row>
    <row r="39" spans="1:20" x14ac:dyDescent="0.25">
      <c r="A39" t="s">
        <v>52</v>
      </c>
      <c r="B39" t="s">
        <v>20</v>
      </c>
      <c r="C39" t="s">
        <v>21</v>
      </c>
      <c r="D39" t="s">
        <v>46</v>
      </c>
      <c r="E39" t="s">
        <v>47</v>
      </c>
      <c r="F39" t="s">
        <v>71</v>
      </c>
      <c r="G39" s="1">
        <v>120</v>
      </c>
      <c r="H39" s="1">
        <v>180</v>
      </c>
      <c r="I39">
        <v>345</v>
      </c>
      <c r="J39" s="2">
        <v>0</v>
      </c>
      <c r="K39" s="1">
        <v>62100</v>
      </c>
      <c r="L39" s="1">
        <v>0</v>
      </c>
      <c r="M39" s="1">
        <v>62100</v>
      </c>
      <c r="N39" s="1">
        <v>41400</v>
      </c>
      <c r="O39" s="1">
        <v>20700</v>
      </c>
      <c r="P39">
        <v>1</v>
      </c>
      <c r="Q39">
        <v>10</v>
      </c>
      <c r="R39">
        <v>2013</v>
      </c>
      <c r="S39" s="3">
        <v>41548</v>
      </c>
      <c r="T39" t="str">
        <f t="shared" si="0"/>
        <v>No Discount</v>
      </c>
    </row>
    <row r="40" spans="1:20" x14ac:dyDescent="0.25">
      <c r="A40" t="s">
        <v>75</v>
      </c>
      <c r="B40" t="s">
        <v>20</v>
      </c>
      <c r="C40" t="s">
        <v>21</v>
      </c>
      <c r="D40" t="s">
        <v>49</v>
      </c>
      <c r="E40" t="s">
        <v>50</v>
      </c>
      <c r="F40" t="s">
        <v>76</v>
      </c>
      <c r="G40" s="1">
        <v>250</v>
      </c>
      <c r="H40" s="1">
        <v>300</v>
      </c>
      <c r="I40">
        <v>2001</v>
      </c>
      <c r="J40" s="2">
        <v>0</v>
      </c>
      <c r="K40" s="1">
        <v>600300</v>
      </c>
      <c r="L40" s="1">
        <v>0</v>
      </c>
      <c r="M40" s="1">
        <v>600300</v>
      </c>
      <c r="N40" s="1">
        <v>500250</v>
      </c>
      <c r="O40" s="1">
        <v>100050</v>
      </c>
      <c r="P40">
        <v>1</v>
      </c>
      <c r="Q40">
        <v>2</v>
      </c>
      <c r="R40">
        <v>2014</v>
      </c>
      <c r="S40" s="3">
        <v>41671</v>
      </c>
      <c r="T40" t="str">
        <f t="shared" si="0"/>
        <v>No Discount</v>
      </c>
    </row>
    <row r="41" spans="1:20" x14ac:dyDescent="0.25">
      <c r="A41" t="s">
        <v>77</v>
      </c>
      <c r="B41" t="s">
        <v>26</v>
      </c>
      <c r="C41" t="s">
        <v>27</v>
      </c>
      <c r="D41" t="s">
        <v>41</v>
      </c>
      <c r="E41" t="s">
        <v>42</v>
      </c>
      <c r="F41" t="s">
        <v>76</v>
      </c>
      <c r="G41" s="1">
        <v>250</v>
      </c>
      <c r="H41" s="1">
        <v>300</v>
      </c>
      <c r="I41">
        <v>2838</v>
      </c>
      <c r="J41" s="2">
        <v>0</v>
      </c>
      <c r="K41" s="1">
        <v>851400</v>
      </c>
      <c r="L41" s="1">
        <v>0</v>
      </c>
      <c r="M41" s="1">
        <v>851400</v>
      </c>
      <c r="N41" s="1">
        <v>709500</v>
      </c>
      <c r="O41" s="1">
        <v>141900</v>
      </c>
      <c r="P41">
        <v>1</v>
      </c>
      <c r="Q41">
        <v>4</v>
      </c>
      <c r="R41">
        <v>2014</v>
      </c>
      <c r="S41" s="3">
        <v>41730</v>
      </c>
      <c r="T41" t="str">
        <f t="shared" si="0"/>
        <v>No Discount</v>
      </c>
    </row>
    <row r="42" spans="1:20" x14ac:dyDescent="0.25">
      <c r="A42" t="s">
        <v>28</v>
      </c>
      <c r="B42" t="s">
        <v>29</v>
      </c>
      <c r="C42" t="s">
        <v>30</v>
      </c>
      <c r="D42" t="s">
        <v>31</v>
      </c>
      <c r="E42" t="s">
        <v>32</v>
      </c>
      <c r="F42" t="s">
        <v>76</v>
      </c>
      <c r="G42" s="1">
        <v>250</v>
      </c>
      <c r="H42" s="1">
        <v>300</v>
      </c>
      <c r="I42">
        <v>2178</v>
      </c>
      <c r="J42" s="2">
        <v>0</v>
      </c>
      <c r="K42" s="1">
        <v>653400</v>
      </c>
      <c r="L42" s="1">
        <v>0</v>
      </c>
      <c r="M42" s="1">
        <v>653400</v>
      </c>
      <c r="N42" s="1">
        <v>544500</v>
      </c>
      <c r="O42" s="1">
        <v>108900</v>
      </c>
      <c r="P42">
        <v>1</v>
      </c>
      <c r="Q42">
        <v>6</v>
      </c>
      <c r="R42">
        <v>2014</v>
      </c>
      <c r="S42" s="3">
        <v>41791</v>
      </c>
      <c r="T42" t="str">
        <f t="shared" si="0"/>
        <v>No Discount</v>
      </c>
    </row>
    <row r="43" spans="1:20" x14ac:dyDescent="0.25">
      <c r="A43" t="s">
        <v>33</v>
      </c>
      <c r="B43" t="s">
        <v>26</v>
      </c>
      <c r="C43" t="s">
        <v>27</v>
      </c>
      <c r="D43" t="s">
        <v>31</v>
      </c>
      <c r="E43" t="s">
        <v>32</v>
      </c>
      <c r="F43" t="s">
        <v>76</v>
      </c>
      <c r="G43" s="1">
        <v>250</v>
      </c>
      <c r="H43" s="1">
        <v>300</v>
      </c>
      <c r="I43">
        <v>888</v>
      </c>
      <c r="J43" s="2">
        <v>0</v>
      </c>
      <c r="K43" s="1">
        <v>266400</v>
      </c>
      <c r="L43" s="1">
        <v>0</v>
      </c>
      <c r="M43" s="1">
        <v>266400</v>
      </c>
      <c r="N43" s="1">
        <v>222000</v>
      </c>
      <c r="O43" s="1">
        <v>44400</v>
      </c>
      <c r="P43">
        <v>1</v>
      </c>
      <c r="Q43">
        <v>6</v>
      </c>
      <c r="R43">
        <v>2014</v>
      </c>
      <c r="S43" s="3">
        <v>41791</v>
      </c>
      <c r="T43" t="str">
        <f t="shared" si="0"/>
        <v>No Discount</v>
      </c>
    </row>
    <row r="44" spans="1:20" x14ac:dyDescent="0.25">
      <c r="A44" t="s">
        <v>78</v>
      </c>
      <c r="B44" t="s">
        <v>29</v>
      </c>
      <c r="C44" t="s">
        <v>30</v>
      </c>
      <c r="D44" t="s">
        <v>22</v>
      </c>
      <c r="E44" t="s">
        <v>23</v>
      </c>
      <c r="F44" t="s">
        <v>76</v>
      </c>
      <c r="G44" s="1">
        <v>250</v>
      </c>
      <c r="H44" s="1">
        <v>300</v>
      </c>
      <c r="I44">
        <v>1527</v>
      </c>
      <c r="J44" s="2">
        <v>0</v>
      </c>
      <c r="K44" s="1">
        <v>458100</v>
      </c>
      <c r="L44" s="1">
        <v>0</v>
      </c>
      <c r="M44" s="1">
        <v>458100</v>
      </c>
      <c r="N44" s="1">
        <v>381750</v>
      </c>
      <c r="O44" s="1">
        <v>76350</v>
      </c>
      <c r="P44">
        <v>1</v>
      </c>
      <c r="Q44">
        <v>9</v>
      </c>
      <c r="R44">
        <v>2013</v>
      </c>
      <c r="S44" s="3">
        <v>41518</v>
      </c>
      <c r="T44" t="str">
        <f t="shared" si="0"/>
        <v>No Discount</v>
      </c>
    </row>
    <row r="45" spans="1:20" x14ac:dyDescent="0.25">
      <c r="A45" t="s">
        <v>79</v>
      </c>
      <c r="B45" t="s">
        <v>29</v>
      </c>
      <c r="C45" t="s">
        <v>30</v>
      </c>
      <c r="D45" t="s">
        <v>49</v>
      </c>
      <c r="E45" t="s">
        <v>50</v>
      </c>
      <c r="F45" t="s">
        <v>76</v>
      </c>
      <c r="G45" s="1">
        <v>250</v>
      </c>
      <c r="H45" s="1">
        <v>300</v>
      </c>
      <c r="I45">
        <v>2151</v>
      </c>
      <c r="J45" s="2">
        <v>0</v>
      </c>
      <c r="K45" s="1">
        <v>645300</v>
      </c>
      <c r="L45" s="1">
        <v>0</v>
      </c>
      <c r="M45" s="1">
        <v>645300</v>
      </c>
      <c r="N45" s="1">
        <v>537750</v>
      </c>
      <c r="O45" s="1">
        <v>107550</v>
      </c>
      <c r="P45">
        <v>1</v>
      </c>
      <c r="Q45">
        <v>9</v>
      </c>
      <c r="R45">
        <v>2014</v>
      </c>
      <c r="S45" s="3">
        <v>41883</v>
      </c>
      <c r="T45" t="str">
        <f t="shared" si="0"/>
        <v>No Discount</v>
      </c>
    </row>
    <row r="46" spans="1:20" x14ac:dyDescent="0.25">
      <c r="A46" t="s">
        <v>69</v>
      </c>
      <c r="B46" t="s">
        <v>20</v>
      </c>
      <c r="C46" t="s">
        <v>21</v>
      </c>
      <c r="D46" t="s">
        <v>22</v>
      </c>
      <c r="E46" t="s">
        <v>23</v>
      </c>
      <c r="F46" t="s">
        <v>76</v>
      </c>
      <c r="G46" s="1">
        <v>250</v>
      </c>
      <c r="H46" s="1">
        <v>300</v>
      </c>
      <c r="I46">
        <v>1817</v>
      </c>
      <c r="J46" s="2">
        <v>0</v>
      </c>
      <c r="K46" s="1">
        <v>545100</v>
      </c>
      <c r="L46" s="1">
        <v>0</v>
      </c>
      <c r="M46" s="1">
        <v>545100</v>
      </c>
      <c r="N46" s="1">
        <v>454250</v>
      </c>
      <c r="O46" s="1">
        <v>90850</v>
      </c>
      <c r="P46">
        <v>1</v>
      </c>
      <c r="Q46">
        <v>12</v>
      </c>
      <c r="R46">
        <v>2014</v>
      </c>
      <c r="S46" s="3">
        <v>41974</v>
      </c>
      <c r="T46" t="str">
        <f t="shared" si="0"/>
        <v>No Discount</v>
      </c>
    </row>
    <row r="47" spans="1:20" x14ac:dyDescent="0.25">
      <c r="A47" t="s">
        <v>80</v>
      </c>
      <c r="B47" t="s">
        <v>29</v>
      </c>
      <c r="C47" t="s">
        <v>30</v>
      </c>
      <c r="D47" t="s">
        <v>22</v>
      </c>
      <c r="E47" t="s">
        <v>23</v>
      </c>
      <c r="F47" t="s">
        <v>81</v>
      </c>
      <c r="G47" s="1">
        <v>200</v>
      </c>
      <c r="H47" s="1">
        <v>350</v>
      </c>
      <c r="I47">
        <v>2750</v>
      </c>
      <c r="J47" s="2">
        <v>0</v>
      </c>
      <c r="K47" s="1">
        <v>962500</v>
      </c>
      <c r="L47" s="1">
        <v>0</v>
      </c>
      <c r="M47" s="1">
        <v>962500</v>
      </c>
      <c r="N47" s="1">
        <v>550000</v>
      </c>
      <c r="O47" s="1">
        <v>412500</v>
      </c>
      <c r="P47">
        <v>1</v>
      </c>
      <c r="Q47">
        <v>2</v>
      </c>
      <c r="R47">
        <v>2014</v>
      </c>
      <c r="S47" s="3">
        <v>41671</v>
      </c>
      <c r="T47" t="str">
        <f t="shared" si="0"/>
        <v>No Discount</v>
      </c>
    </row>
    <row r="48" spans="1:20" x14ac:dyDescent="0.25">
      <c r="A48" t="s">
        <v>82</v>
      </c>
      <c r="B48" t="s">
        <v>54</v>
      </c>
      <c r="C48" t="s">
        <v>55</v>
      </c>
      <c r="D48" t="s">
        <v>41</v>
      </c>
      <c r="E48" t="s">
        <v>42</v>
      </c>
      <c r="F48" t="s">
        <v>81</v>
      </c>
      <c r="G48" s="1">
        <v>200</v>
      </c>
      <c r="H48" s="1">
        <v>350</v>
      </c>
      <c r="I48">
        <v>1953</v>
      </c>
      <c r="J48" s="2">
        <v>0</v>
      </c>
      <c r="K48" s="1">
        <v>683550</v>
      </c>
      <c r="L48" s="1">
        <v>0</v>
      </c>
      <c r="M48" s="1">
        <v>683550</v>
      </c>
      <c r="N48" s="1">
        <v>390600</v>
      </c>
      <c r="O48" s="1">
        <v>292950</v>
      </c>
      <c r="P48">
        <v>1</v>
      </c>
      <c r="Q48">
        <v>4</v>
      </c>
      <c r="R48">
        <v>2014</v>
      </c>
      <c r="S48" s="3">
        <v>41730</v>
      </c>
      <c r="T48" t="str">
        <f t="shared" si="0"/>
        <v>No Discount</v>
      </c>
    </row>
    <row r="49" spans="1:20" x14ac:dyDescent="0.25">
      <c r="A49" t="s">
        <v>83</v>
      </c>
      <c r="B49" t="s">
        <v>26</v>
      </c>
      <c r="C49" t="s">
        <v>27</v>
      </c>
      <c r="D49" t="s">
        <v>46</v>
      </c>
      <c r="E49" t="s">
        <v>47</v>
      </c>
      <c r="F49" t="s">
        <v>81</v>
      </c>
      <c r="G49" s="1">
        <v>200</v>
      </c>
      <c r="H49" s="1">
        <v>350</v>
      </c>
      <c r="I49">
        <v>4219</v>
      </c>
      <c r="J49" s="2">
        <v>0</v>
      </c>
      <c r="K49" s="1">
        <v>1476650</v>
      </c>
      <c r="L49" s="1">
        <v>0</v>
      </c>
      <c r="M49" s="1">
        <v>1476650</v>
      </c>
      <c r="N49" s="1">
        <v>843800</v>
      </c>
      <c r="O49" s="1">
        <v>632850</v>
      </c>
      <c r="P49">
        <v>1</v>
      </c>
      <c r="Q49">
        <v>4</v>
      </c>
      <c r="R49">
        <v>2014</v>
      </c>
      <c r="S49" s="3">
        <v>41730</v>
      </c>
      <c r="T49" t="str">
        <f t="shared" si="0"/>
        <v>No Discount</v>
      </c>
    </row>
    <row r="50" spans="1:20" x14ac:dyDescent="0.25">
      <c r="A50" t="s">
        <v>43</v>
      </c>
      <c r="B50" t="s">
        <v>29</v>
      </c>
      <c r="C50" t="s">
        <v>30</v>
      </c>
      <c r="D50" t="s">
        <v>22</v>
      </c>
      <c r="E50" t="s">
        <v>23</v>
      </c>
      <c r="F50" t="s">
        <v>81</v>
      </c>
      <c r="G50" s="1">
        <v>200</v>
      </c>
      <c r="H50" s="1">
        <v>350</v>
      </c>
      <c r="I50">
        <v>1899</v>
      </c>
      <c r="J50" s="2">
        <v>0</v>
      </c>
      <c r="K50" s="1">
        <v>664650</v>
      </c>
      <c r="L50" s="1">
        <v>0</v>
      </c>
      <c r="M50" s="1">
        <v>664650</v>
      </c>
      <c r="N50" s="1">
        <v>379800</v>
      </c>
      <c r="O50" s="1">
        <v>284850</v>
      </c>
      <c r="P50">
        <v>1</v>
      </c>
      <c r="Q50">
        <v>6</v>
      </c>
      <c r="R50">
        <v>2014</v>
      </c>
      <c r="S50" s="3">
        <v>41791</v>
      </c>
      <c r="T50" t="str">
        <f t="shared" si="0"/>
        <v>No Discount</v>
      </c>
    </row>
    <row r="51" spans="1:20" x14ac:dyDescent="0.25">
      <c r="A51" t="s">
        <v>84</v>
      </c>
      <c r="B51" t="s">
        <v>26</v>
      </c>
      <c r="C51" t="s">
        <v>27</v>
      </c>
      <c r="D51" t="s">
        <v>22</v>
      </c>
      <c r="E51" t="s">
        <v>23</v>
      </c>
      <c r="F51" t="s">
        <v>81</v>
      </c>
      <c r="G51" s="1">
        <v>200</v>
      </c>
      <c r="H51" s="1">
        <v>350</v>
      </c>
      <c r="I51">
        <v>1686</v>
      </c>
      <c r="J51" s="2">
        <v>0</v>
      </c>
      <c r="K51" s="1">
        <v>590100</v>
      </c>
      <c r="L51" s="1">
        <v>0</v>
      </c>
      <c r="M51" s="1">
        <v>590100</v>
      </c>
      <c r="N51" s="1">
        <v>337200</v>
      </c>
      <c r="O51" s="1">
        <v>252900</v>
      </c>
      <c r="P51">
        <v>1</v>
      </c>
      <c r="Q51">
        <v>7</v>
      </c>
      <c r="R51">
        <v>2014</v>
      </c>
      <c r="S51" s="3">
        <v>41821</v>
      </c>
      <c r="T51" t="str">
        <f t="shared" si="0"/>
        <v>No Discount</v>
      </c>
    </row>
    <row r="52" spans="1:20" x14ac:dyDescent="0.25">
      <c r="A52" t="s">
        <v>85</v>
      </c>
      <c r="B52" t="s">
        <v>54</v>
      </c>
      <c r="C52" t="s">
        <v>55</v>
      </c>
      <c r="D52" t="s">
        <v>41</v>
      </c>
      <c r="E52" t="s">
        <v>42</v>
      </c>
      <c r="F52" t="s">
        <v>81</v>
      </c>
      <c r="G52" s="1">
        <v>200</v>
      </c>
      <c r="H52" s="1">
        <v>350</v>
      </c>
      <c r="I52">
        <v>2141</v>
      </c>
      <c r="J52" s="2">
        <v>0</v>
      </c>
      <c r="K52" s="1">
        <v>749350</v>
      </c>
      <c r="L52" s="1">
        <v>0</v>
      </c>
      <c r="M52" s="1">
        <v>749350</v>
      </c>
      <c r="N52" s="1">
        <v>428200</v>
      </c>
      <c r="O52" s="1">
        <v>321150</v>
      </c>
      <c r="P52">
        <v>1</v>
      </c>
      <c r="Q52">
        <v>8</v>
      </c>
      <c r="R52">
        <v>2014</v>
      </c>
      <c r="S52" s="3">
        <v>41852</v>
      </c>
      <c r="T52" t="str">
        <f t="shared" si="0"/>
        <v>No Discount</v>
      </c>
    </row>
    <row r="53" spans="1:20" x14ac:dyDescent="0.25">
      <c r="A53" t="s">
        <v>65</v>
      </c>
      <c r="B53" t="s">
        <v>54</v>
      </c>
      <c r="C53" t="s">
        <v>55</v>
      </c>
      <c r="D53" t="s">
        <v>22</v>
      </c>
      <c r="E53" t="s">
        <v>23</v>
      </c>
      <c r="F53" t="s">
        <v>81</v>
      </c>
      <c r="G53" s="1">
        <v>200</v>
      </c>
      <c r="H53" s="1">
        <v>350</v>
      </c>
      <c r="I53">
        <v>1143</v>
      </c>
      <c r="J53" s="2">
        <v>0</v>
      </c>
      <c r="K53" s="1">
        <v>400050</v>
      </c>
      <c r="L53" s="1">
        <v>0</v>
      </c>
      <c r="M53" s="1">
        <v>400050</v>
      </c>
      <c r="N53" s="1">
        <v>228600</v>
      </c>
      <c r="O53" s="1">
        <v>171450</v>
      </c>
      <c r="P53">
        <v>1</v>
      </c>
      <c r="Q53">
        <v>10</v>
      </c>
      <c r="R53">
        <v>2014</v>
      </c>
      <c r="S53" s="3">
        <v>41913</v>
      </c>
      <c r="T53" t="str">
        <f t="shared" si="0"/>
        <v>No Discount</v>
      </c>
    </row>
    <row r="54" spans="1:20" x14ac:dyDescent="0.25">
      <c r="A54" t="s">
        <v>53</v>
      </c>
      <c r="B54" t="s">
        <v>54</v>
      </c>
      <c r="C54" t="s">
        <v>55</v>
      </c>
      <c r="D54" t="s">
        <v>31</v>
      </c>
      <c r="E54" t="s">
        <v>32</v>
      </c>
      <c r="F54" t="s">
        <v>81</v>
      </c>
      <c r="G54" s="1">
        <v>200</v>
      </c>
      <c r="H54" s="1">
        <v>350</v>
      </c>
      <c r="I54">
        <v>615</v>
      </c>
      <c r="J54" s="2">
        <v>0</v>
      </c>
      <c r="K54" s="1">
        <v>215250</v>
      </c>
      <c r="L54" s="1">
        <v>0</v>
      </c>
      <c r="M54" s="1">
        <v>215250</v>
      </c>
      <c r="N54" s="1">
        <v>123000</v>
      </c>
      <c r="O54" s="1">
        <v>92250</v>
      </c>
      <c r="P54">
        <v>1</v>
      </c>
      <c r="Q54">
        <v>12</v>
      </c>
      <c r="R54">
        <v>2014</v>
      </c>
      <c r="S54" s="3">
        <v>41974</v>
      </c>
      <c r="T54" t="str">
        <f t="shared" si="0"/>
        <v>No Discount</v>
      </c>
    </row>
    <row r="55" spans="1:20" x14ac:dyDescent="0.25">
      <c r="A55" t="s">
        <v>86</v>
      </c>
      <c r="B55" t="s">
        <v>29</v>
      </c>
      <c r="C55" t="s">
        <v>30</v>
      </c>
      <c r="D55" t="s">
        <v>22</v>
      </c>
      <c r="E55" t="s">
        <v>23</v>
      </c>
      <c r="F55" t="s">
        <v>57</v>
      </c>
      <c r="G55" s="1">
        <v>10</v>
      </c>
      <c r="H55" s="1">
        <v>20</v>
      </c>
      <c r="I55">
        <v>3945</v>
      </c>
      <c r="J55" s="2">
        <v>9.9999999999999985E-3</v>
      </c>
      <c r="K55" s="1">
        <v>78900</v>
      </c>
      <c r="L55" s="1">
        <v>788.99999999999989</v>
      </c>
      <c r="M55" s="1">
        <v>78111</v>
      </c>
      <c r="N55" s="1">
        <v>39450</v>
      </c>
      <c r="O55" s="1">
        <v>38661</v>
      </c>
      <c r="P55">
        <v>1</v>
      </c>
      <c r="Q55">
        <v>1</v>
      </c>
      <c r="R55">
        <v>2014</v>
      </c>
      <c r="S55" s="3">
        <v>41640</v>
      </c>
      <c r="T55" t="str">
        <f t="shared" si="0"/>
        <v>Very Low Discount</v>
      </c>
    </row>
    <row r="56" spans="1:20" x14ac:dyDescent="0.25">
      <c r="A56" t="s">
        <v>87</v>
      </c>
      <c r="B56" t="s">
        <v>29</v>
      </c>
      <c r="C56" t="s">
        <v>30</v>
      </c>
      <c r="D56" t="s">
        <v>31</v>
      </c>
      <c r="E56" t="s">
        <v>32</v>
      </c>
      <c r="F56" t="s">
        <v>57</v>
      </c>
      <c r="G56" s="1">
        <v>10</v>
      </c>
      <c r="H56" s="1">
        <v>20</v>
      </c>
      <c r="I56">
        <v>2296</v>
      </c>
      <c r="J56" s="2">
        <v>9.9999999999999985E-3</v>
      </c>
      <c r="K56" s="1">
        <v>45920</v>
      </c>
      <c r="L56" s="1">
        <v>459.19999999999993</v>
      </c>
      <c r="M56" s="1">
        <v>45460.800000000003</v>
      </c>
      <c r="N56" s="1">
        <v>22960</v>
      </c>
      <c r="O56" s="1">
        <v>22500.800000000003</v>
      </c>
      <c r="P56">
        <v>1</v>
      </c>
      <c r="Q56">
        <v>2</v>
      </c>
      <c r="R56">
        <v>2014</v>
      </c>
      <c r="S56" s="3">
        <v>41671</v>
      </c>
      <c r="T56" t="str">
        <f t="shared" si="0"/>
        <v>Very Low Discount</v>
      </c>
    </row>
    <row r="57" spans="1:20" x14ac:dyDescent="0.25">
      <c r="A57" t="s">
        <v>88</v>
      </c>
      <c r="B57" t="s">
        <v>29</v>
      </c>
      <c r="C57" t="s">
        <v>30</v>
      </c>
      <c r="D57" t="s">
        <v>22</v>
      </c>
      <c r="E57" t="s">
        <v>23</v>
      </c>
      <c r="F57" t="s">
        <v>57</v>
      </c>
      <c r="G57" s="1">
        <v>10</v>
      </c>
      <c r="H57" s="1">
        <v>20</v>
      </c>
      <c r="I57">
        <v>1030</v>
      </c>
      <c r="J57" s="2">
        <v>9.9999999999999985E-3</v>
      </c>
      <c r="K57" s="1">
        <v>20600</v>
      </c>
      <c r="L57" s="1">
        <v>205.99999999999997</v>
      </c>
      <c r="M57" s="1">
        <v>20394</v>
      </c>
      <c r="N57" s="1">
        <v>10300</v>
      </c>
      <c r="O57" s="1">
        <v>10094</v>
      </c>
      <c r="P57">
        <v>1</v>
      </c>
      <c r="Q57">
        <v>5</v>
      </c>
      <c r="R57">
        <v>2014</v>
      </c>
      <c r="S57" s="3">
        <v>41760</v>
      </c>
      <c r="T57" t="str">
        <f t="shared" si="0"/>
        <v>Very Low Discount</v>
      </c>
    </row>
    <row r="58" spans="1:20" x14ac:dyDescent="0.25">
      <c r="A58" t="s">
        <v>89</v>
      </c>
      <c r="B58" t="s">
        <v>29</v>
      </c>
      <c r="C58" t="s">
        <v>30</v>
      </c>
      <c r="D58" t="s">
        <v>22</v>
      </c>
      <c r="E58" t="s">
        <v>23</v>
      </c>
      <c r="F58" t="s">
        <v>71</v>
      </c>
      <c r="G58" s="1">
        <v>120</v>
      </c>
      <c r="H58" s="1">
        <v>180</v>
      </c>
      <c r="I58">
        <v>639</v>
      </c>
      <c r="J58" s="2">
        <v>9.9999999999999985E-3</v>
      </c>
      <c r="K58" s="1">
        <v>115020</v>
      </c>
      <c r="L58" s="1">
        <v>1150.1999999999998</v>
      </c>
      <c r="M58" s="1">
        <v>113869.8</v>
      </c>
      <c r="N58" s="1">
        <v>76680</v>
      </c>
      <c r="O58" s="1">
        <v>37189.800000000003</v>
      </c>
      <c r="P58">
        <v>1</v>
      </c>
      <c r="Q58">
        <v>11</v>
      </c>
      <c r="R58">
        <v>2014</v>
      </c>
      <c r="S58" s="3">
        <v>41944</v>
      </c>
      <c r="T58" t="str">
        <f t="shared" si="0"/>
        <v>Very Low Discount</v>
      </c>
    </row>
    <row r="59" spans="1:20" x14ac:dyDescent="0.25">
      <c r="A59" t="s">
        <v>90</v>
      </c>
      <c r="B59" t="s">
        <v>20</v>
      </c>
      <c r="C59" t="s">
        <v>21</v>
      </c>
      <c r="D59" t="s">
        <v>22</v>
      </c>
      <c r="E59" t="s">
        <v>23</v>
      </c>
      <c r="F59" t="s">
        <v>76</v>
      </c>
      <c r="G59" s="1">
        <v>250</v>
      </c>
      <c r="H59" s="1">
        <v>300</v>
      </c>
      <c r="I59">
        <v>1326</v>
      </c>
      <c r="J59" s="2">
        <v>9.9999999999999985E-3</v>
      </c>
      <c r="K59" s="1">
        <v>397800</v>
      </c>
      <c r="L59" s="1">
        <v>3977.9999999999995</v>
      </c>
      <c r="M59" s="1">
        <v>393822</v>
      </c>
      <c r="N59" s="1">
        <v>331500</v>
      </c>
      <c r="O59" s="1">
        <v>62322</v>
      </c>
      <c r="P59">
        <v>1</v>
      </c>
      <c r="Q59">
        <v>3</v>
      </c>
      <c r="R59">
        <v>2014</v>
      </c>
      <c r="S59" s="3">
        <v>41699</v>
      </c>
      <c r="T59" t="str">
        <f t="shared" si="0"/>
        <v>Very Low Discount</v>
      </c>
    </row>
    <row r="60" spans="1:20" x14ac:dyDescent="0.25">
      <c r="A60" t="s">
        <v>91</v>
      </c>
      <c r="B60" t="s">
        <v>54</v>
      </c>
      <c r="C60" t="s">
        <v>55</v>
      </c>
      <c r="D60" t="s">
        <v>41</v>
      </c>
      <c r="E60" t="s">
        <v>42</v>
      </c>
      <c r="F60" t="s">
        <v>24</v>
      </c>
      <c r="G60" s="1">
        <v>3</v>
      </c>
      <c r="H60" s="1">
        <v>20</v>
      </c>
      <c r="I60">
        <v>1858</v>
      </c>
      <c r="J60" s="2">
        <v>0.01</v>
      </c>
      <c r="K60" s="1">
        <v>37160</v>
      </c>
      <c r="L60" s="1">
        <v>371.6</v>
      </c>
      <c r="M60" s="1">
        <v>36788.400000000001</v>
      </c>
      <c r="N60" s="1">
        <v>5574</v>
      </c>
      <c r="O60" s="1">
        <v>31214.400000000001</v>
      </c>
      <c r="P60">
        <v>1</v>
      </c>
      <c r="Q60">
        <v>2</v>
      </c>
      <c r="R60">
        <v>2014</v>
      </c>
      <c r="S60" s="3">
        <v>41671</v>
      </c>
      <c r="T60" t="str">
        <f t="shared" si="0"/>
        <v>Very Low Discount</v>
      </c>
    </row>
    <row r="61" spans="1:20" x14ac:dyDescent="0.25">
      <c r="A61" t="s">
        <v>92</v>
      </c>
      <c r="B61" t="s">
        <v>35</v>
      </c>
      <c r="C61" t="s">
        <v>36</v>
      </c>
      <c r="D61" t="s">
        <v>22</v>
      </c>
      <c r="E61" t="s">
        <v>23</v>
      </c>
      <c r="F61" t="s">
        <v>24</v>
      </c>
      <c r="G61" s="1">
        <v>3</v>
      </c>
      <c r="H61" s="1">
        <v>20</v>
      </c>
      <c r="I61">
        <v>1210</v>
      </c>
      <c r="J61" s="2">
        <v>0.01</v>
      </c>
      <c r="K61" s="1">
        <v>24200</v>
      </c>
      <c r="L61" s="1">
        <v>242</v>
      </c>
      <c r="M61" s="1">
        <v>23958</v>
      </c>
      <c r="N61" s="1">
        <v>3630</v>
      </c>
      <c r="O61" s="1">
        <v>20328</v>
      </c>
      <c r="P61">
        <v>1</v>
      </c>
      <c r="Q61">
        <v>3</v>
      </c>
      <c r="R61">
        <v>2014</v>
      </c>
      <c r="S61" s="3">
        <v>41699</v>
      </c>
      <c r="T61" t="str">
        <f t="shared" si="0"/>
        <v>Very Low Discount</v>
      </c>
    </row>
    <row r="62" spans="1:20" x14ac:dyDescent="0.25">
      <c r="A62" t="s">
        <v>93</v>
      </c>
      <c r="B62" t="s">
        <v>54</v>
      </c>
      <c r="C62" t="s">
        <v>55</v>
      </c>
      <c r="D62" t="s">
        <v>22</v>
      </c>
      <c r="E62" t="s">
        <v>23</v>
      </c>
      <c r="F62" t="s">
        <v>24</v>
      </c>
      <c r="G62" s="1">
        <v>3</v>
      </c>
      <c r="H62" s="1">
        <v>20</v>
      </c>
      <c r="I62">
        <v>2529</v>
      </c>
      <c r="J62" s="2">
        <v>0.01</v>
      </c>
      <c r="K62" s="1">
        <v>50580</v>
      </c>
      <c r="L62" s="1">
        <v>505.8</v>
      </c>
      <c r="M62" s="1">
        <v>50074.2</v>
      </c>
      <c r="N62" s="1">
        <v>7587</v>
      </c>
      <c r="O62" s="1">
        <v>42487.199999999997</v>
      </c>
      <c r="P62">
        <v>1</v>
      </c>
      <c r="Q62">
        <v>7</v>
      </c>
      <c r="R62">
        <v>2014</v>
      </c>
      <c r="S62" s="3">
        <v>41821</v>
      </c>
      <c r="T62" t="str">
        <f t="shared" si="0"/>
        <v>Very Low Discount</v>
      </c>
    </row>
    <row r="63" spans="1:20" x14ac:dyDescent="0.25">
      <c r="A63" t="s">
        <v>94</v>
      </c>
      <c r="B63" t="s">
        <v>20</v>
      </c>
      <c r="C63" t="s">
        <v>21</v>
      </c>
      <c r="D63" t="s">
        <v>41</v>
      </c>
      <c r="E63" t="s">
        <v>42</v>
      </c>
      <c r="F63" t="s">
        <v>24</v>
      </c>
      <c r="G63" s="1">
        <v>3</v>
      </c>
      <c r="H63" s="1">
        <v>20</v>
      </c>
      <c r="I63">
        <v>1445</v>
      </c>
      <c r="J63" s="2">
        <v>0.01</v>
      </c>
      <c r="K63" s="1">
        <v>28900</v>
      </c>
      <c r="L63" s="1">
        <v>289</v>
      </c>
      <c r="M63" s="1">
        <v>28611</v>
      </c>
      <c r="N63" s="1">
        <v>4335</v>
      </c>
      <c r="O63" s="1">
        <v>24276</v>
      </c>
      <c r="P63">
        <v>1</v>
      </c>
      <c r="Q63">
        <v>9</v>
      </c>
      <c r="R63">
        <v>2014</v>
      </c>
      <c r="S63" s="3">
        <v>41883</v>
      </c>
      <c r="T63" t="str">
        <f t="shared" si="0"/>
        <v>Very Low Discount</v>
      </c>
    </row>
    <row r="64" spans="1:20" x14ac:dyDescent="0.25">
      <c r="A64" t="s">
        <v>95</v>
      </c>
      <c r="B64" t="s">
        <v>54</v>
      </c>
      <c r="C64" t="s">
        <v>55</v>
      </c>
      <c r="D64" t="s">
        <v>46</v>
      </c>
      <c r="E64" t="s">
        <v>47</v>
      </c>
      <c r="F64" t="s">
        <v>24</v>
      </c>
      <c r="G64" s="1">
        <v>3</v>
      </c>
      <c r="H64" s="1">
        <v>20</v>
      </c>
      <c r="I64">
        <v>330</v>
      </c>
      <c r="J64" s="2">
        <v>0.01</v>
      </c>
      <c r="K64" s="1">
        <v>6600</v>
      </c>
      <c r="L64" s="1">
        <v>66</v>
      </c>
      <c r="M64" s="1">
        <v>6534</v>
      </c>
      <c r="N64" s="1">
        <v>990</v>
      </c>
      <c r="O64" s="1">
        <v>5544</v>
      </c>
      <c r="P64">
        <v>1</v>
      </c>
      <c r="Q64">
        <v>9</v>
      </c>
      <c r="R64">
        <v>2013</v>
      </c>
      <c r="S64" s="3">
        <v>41518</v>
      </c>
      <c r="T64" t="str">
        <f t="shared" si="0"/>
        <v>Very Low Discount</v>
      </c>
    </row>
    <row r="65" spans="1:20" x14ac:dyDescent="0.25">
      <c r="A65" t="s">
        <v>96</v>
      </c>
      <c r="B65" t="s">
        <v>29</v>
      </c>
      <c r="C65" t="s">
        <v>30</v>
      </c>
      <c r="D65" t="s">
        <v>41</v>
      </c>
      <c r="E65" t="s">
        <v>42</v>
      </c>
      <c r="F65" t="s">
        <v>24</v>
      </c>
      <c r="G65" s="1">
        <v>3</v>
      </c>
      <c r="H65" s="1">
        <v>20</v>
      </c>
      <c r="I65">
        <v>2671</v>
      </c>
      <c r="J65" s="2">
        <v>0.01</v>
      </c>
      <c r="K65" s="1">
        <v>53420</v>
      </c>
      <c r="L65" s="1">
        <v>534.20000000000005</v>
      </c>
      <c r="M65" s="1">
        <v>52885.8</v>
      </c>
      <c r="N65" s="1">
        <v>8013</v>
      </c>
      <c r="O65" s="1">
        <v>44872.800000000003</v>
      </c>
      <c r="P65">
        <v>1</v>
      </c>
      <c r="Q65">
        <v>9</v>
      </c>
      <c r="R65">
        <v>2014</v>
      </c>
      <c r="S65" s="3">
        <v>41883</v>
      </c>
      <c r="T65" t="str">
        <f t="shared" si="0"/>
        <v>Very Low Discount</v>
      </c>
    </row>
    <row r="66" spans="1:20" x14ac:dyDescent="0.25">
      <c r="A66" t="s">
        <v>97</v>
      </c>
      <c r="B66" t="s">
        <v>26</v>
      </c>
      <c r="C66" t="s">
        <v>27</v>
      </c>
      <c r="D66" t="s">
        <v>41</v>
      </c>
      <c r="E66" t="s">
        <v>42</v>
      </c>
      <c r="F66" t="s">
        <v>24</v>
      </c>
      <c r="G66" s="1">
        <v>3</v>
      </c>
      <c r="H66" s="1">
        <v>20</v>
      </c>
      <c r="I66">
        <v>766</v>
      </c>
      <c r="J66" s="2">
        <v>0.01</v>
      </c>
      <c r="K66" s="1">
        <v>15320</v>
      </c>
      <c r="L66" s="1">
        <v>153.20000000000002</v>
      </c>
      <c r="M66" s="1">
        <v>15166.8</v>
      </c>
      <c r="N66" s="1">
        <v>2298</v>
      </c>
      <c r="O66" s="1">
        <v>12868.8</v>
      </c>
      <c r="P66">
        <v>1</v>
      </c>
      <c r="Q66">
        <v>10</v>
      </c>
      <c r="R66">
        <v>2013</v>
      </c>
      <c r="S66" s="3">
        <v>41548</v>
      </c>
      <c r="T66" t="str">
        <f t="shared" ref="T66:T129" si="1">_xlfn.IFS(J66=0%,"No Discount",J66&lt;=3%,"Very Low Discount",J66&lt;=6%,"Low Discount",J66&lt;=9%,"Mid Discount",J66&lt;=12%,"High Discount",J66&lt;=15%,"Very High Discount")</f>
        <v>Very Low Discount</v>
      </c>
    </row>
    <row r="67" spans="1:20" x14ac:dyDescent="0.25">
      <c r="A67" t="s">
        <v>98</v>
      </c>
      <c r="B67" t="s">
        <v>35</v>
      </c>
      <c r="C67" t="s">
        <v>36</v>
      </c>
      <c r="D67" t="s">
        <v>49</v>
      </c>
      <c r="E67" t="s">
        <v>50</v>
      </c>
      <c r="F67" t="s">
        <v>24</v>
      </c>
      <c r="G67" s="1">
        <v>3</v>
      </c>
      <c r="H67" s="1">
        <v>20</v>
      </c>
      <c r="I67">
        <v>494</v>
      </c>
      <c r="J67" s="2">
        <v>0.01</v>
      </c>
      <c r="K67" s="1">
        <v>9880</v>
      </c>
      <c r="L67" s="1">
        <v>98.8</v>
      </c>
      <c r="M67" s="1">
        <v>9781.2000000000007</v>
      </c>
      <c r="N67" s="1">
        <v>1482</v>
      </c>
      <c r="O67" s="1">
        <v>8299.2000000000007</v>
      </c>
      <c r="P67">
        <v>1</v>
      </c>
      <c r="Q67">
        <v>10</v>
      </c>
      <c r="R67">
        <v>2013</v>
      </c>
      <c r="S67" s="3">
        <v>41548</v>
      </c>
      <c r="T67" t="str">
        <f t="shared" si="1"/>
        <v>Very Low Discount</v>
      </c>
    </row>
    <row r="68" spans="1:20" x14ac:dyDescent="0.25">
      <c r="A68" t="s">
        <v>99</v>
      </c>
      <c r="B68" t="s">
        <v>35</v>
      </c>
      <c r="C68" t="s">
        <v>36</v>
      </c>
      <c r="D68" t="s">
        <v>22</v>
      </c>
      <c r="E68" t="s">
        <v>23</v>
      </c>
      <c r="F68" t="s">
        <v>24</v>
      </c>
      <c r="G68" s="1">
        <v>3</v>
      </c>
      <c r="H68" s="1">
        <v>20</v>
      </c>
      <c r="I68">
        <v>1397</v>
      </c>
      <c r="J68" s="2">
        <v>0.01</v>
      </c>
      <c r="K68" s="1">
        <v>27940</v>
      </c>
      <c r="L68" s="1">
        <v>279.40000000000003</v>
      </c>
      <c r="M68" s="1">
        <v>27660.6</v>
      </c>
      <c r="N68" s="1">
        <v>4191</v>
      </c>
      <c r="O68" s="1">
        <v>23469.599999999999</v>
      </c>
      <c r="P68">
        <v>1</v>
      </c>
      <c r="Q68">
        <v>10</v>
      </c>
      <c r="R68">
        <v>2014</v>
      </c>
      <c r="S68" s="3">
        <v>41913</v>
      </c>
      <c r="T68" t="str">
        <f t="shared" si="1"/>
        <v>Very Low Discount</v>
      </c>
    </row>
    <row r="69" spans="1:20" x14ac:dyDescent="0.25">
      <c r="A69" t="s">
        <v>100</v>
      </c>
      <c r="B69" t="s">
        <v>29</v>
      </c>
      <c r="C69" t="s">
        <v>30</v>
      </c>
      <c r="D69" t="s">
        <v>22</v>
      </c>
      <c r="E69" t="s">
        <v>23</v>
      </c>
      <c r="F69" t="s">
        <v>24</v>
      </c>
      <c r="G69" s="1">
        <v>3</v>
      </c>
      <c r="H69" s="1">
        <v>20</v>
      </c>
      <c r="I69">
        <v>2155</v>
      </c>
      <c r="J69" s="2">
        <v>0.01</v>
      </c>
      <c r="K69" s="1">
        <v>43100</v>
      </c>
      <c r="L69" s="1">
        <v>431</v>
      </c>
      <c r="M69" s="1">
        <v>42669</v>
      </c>
      <c r="N69" s="1">
        <v>6465</v>
      </c>
      <c r="O69" s="1">
        <v>36204</v>
      </c>
      <c r="P69">
        <v>1</v>
      </c>
      <c r="Q69">
        <v>12</v>
      </c>
      <c r="R69">
        <v>2014</v>
      </c>
      <c r="S69" s="3">
        <v>41974</v>
      </c>
      <c r="T69" t="str">
        <f t="shared" si="1"/>
        <v>Very Low Discount</v>
      </c>
    </row>
    <row r="70" spans="1:20" x14ac:dyDescent="0.25">
      <c r="A70" t="s">
        <v>101</v>
      </c>
      <c r="B70" t="s">
        <v>35</v>
      </c>
      <c r="C70" t="s">
        <v>36</v>
      </c>
      <c r="D70" t="s">
        <v>31</v>
      </c>
      <c r="E70" t="s">
        <v>32</v>
      </c>
      <c r="F70" t="s">
        <v>39</v>
      </c>
      <c r="G70" s="1">
        <v>5</v>
      </c>
      <c r="H70" s="1">
        <v>15</v>
      </c>
      <c r="I70">
        <v>2214</v>
      </c>
      <c r="J70" s="2">
        <v>0.01</v>
      </c>
      <c r="K70" s="1">
        <v>33210</v>
      </c>
      <c r="L70" s="1">
        <v>332.1</v>
      </c>
      <c r="M70" s="1">
        <v>32877.9</v>
      </c>
      <c r="N70" s="1">
        <v>11070</v>
      </c>
      <c r="O70" s="1">
        <v>21807.9</v>
      </c>
      <c r="P70">
        <v>1</v>
      </c>
      <c r="Q70">
        <v>3</v>
      </c>
      <c r="R70">
        <v>2014</v>
      </c>
      <c r="S70" s="3">
        <v>41699</v>
      </c>
      <c r="T70" t="str">
        <f t="shared" si="1"/>
        <v>Very Low Discount</v>
      </c>
    </row>
    <row r="71" spans="1:20" x14ac:dyDescent="0.25">
      <c r="A71" t="s">
        <v>102</v>
      </c>
      <c r="B71" t="s">
        <v>54</v>
      </c>
      <c r="C71" t="s">
        <v>55</v>
      </c>
      <c r="D71" t="s">
        <v>49</v>
      </c>
      <c r="E71" t="s">
        <v>50</v>
      </c>
      <c r="F71" t="s">
        <v>39</v>
      </c>
      <c r="G71" s="1">
        <v>5</v>
      </c>
      <c r="H71" s="1">
        <v>15</v>
      </c>
      <c r="I71">
        <v>2301</v>
      </c>
      <c r="J71" s="2">
        <v>0.01</v>
      </c>
      <c r="K71" s="1">
        <v>34515</v>
      </c>
      <c r="L71" s="1">
        <v>345.15000000000003</v>
      </c>
      <c r="M71" s="1">
        <v>34169.85</v>
      </c>
      <c r="N71" s="1">
        <v>11505</v>
      </c>
      <c r="O71" s="1">
        <v>22664.85</v>
      </c>
      <c r="P71">
        <v>1</v>
      </c>
      <c r="Q71">
        <v>4</v>
      </c>
      <c r="R71">
        <v>2014</v>
      </c>
      <c r="S71" s="3">
        <v>41730</v>
      </c>
      <c r="T71" t="str">
        <f t="shared" si="1"/>
        <v>Very Low Discount</v>
      </c>
    </row>
    <row r="72" spans="1:20" x14ac:dyDescent="0.25">
      <c r="A72" t="s">
        <v>103</v>
      </c>
      <c r="B72" t="s">
        <v>29</v>
      </c>
      <c r="C72" t="s">
        <v>30</v>
      </c>
      <c r="D72" t="s">
        <v>22</v>
      </c>
      <c r="E72" t="s">
        <v>23</v>
      </c>
      <c r="F72" t="s">
        <v>39</v>
      </c>
      <c r="G72" s="1">
        <v>5</v>
      </c>
      <c r="H72" s="1">
        <v>15</v>
      </c>
      <c r="I72">
        <v>1375</v>
      </c>
      <c r="J72" s="2">
        <v>1.0003636363636364E-2</v>
      </c>
      <c r="K72" s="1">
        <v>20625</v>
      </c>
      <c r="L72" s="1">
        <v>206.32500000000002</v>
      </c>
      <c r="M72" s="1">
        <v>20418.674999999999</v>
      </c>
      <c r="N72" s="1">
        <v>6875</v>
      </c>
      <c r="O72" s="1">
        <v>13543.674999999999</v>
      </c>
      <c r="P72">
        <v>1</v>
      </c>
      <c r="Q72">
        <v>7</v>
      </c>
      <c r="R72">
        <v>2014</v>
      </c>
      <c r="S72" s="3">
        <v>41821</v>
      </c>
      <c r="T72" t="str">
        <f t="shared" si="1"/>
        <v>Very Low Discount</v>
      </c>
    </row>
    <row r="73" spans="1:20" x14ac:dyDescent="0.25">
      <c r="A73" t="s">
        <v>104</v>
      </c>
      <c r="B73" t="s">
        <v>20</v>
      </c>
      <c r="C73" t="s">
        <v>21</v>
      </c>
      <c r="D73" t="s">
        <v>22</v>
      </c>
      <c r="E73" t="s">
        <v>23</v>
      </c>
      <c r="F73" t="s">
        <v>39</v>
      </c>
      <c r="G73" s="1">
        <v>5</v>
      </c>
      <c r="H73" s="1">
        <v>15</v>
      </c>
      <c r="I73">
        <v>1830</v>
      </c>
      <c r="J73" s="2">
        <v>0.01</v>
      </c>
      <c r="K73" s="1">
        <v>27450</v>
      </c>
      <c r="L73" s="1">
        <v>274.5</v>
      </c>
      <c r="M73" s="1">
        <v>27175.5</v>
      </c>
      <c r="N73" s="1">
        <v>9150</v>
      </c>
      <c r="O73" s="1">
        <v>18025.5</v>
      </c>
      <c r="P73">
        <v>1</v>
      </c>
      <c r="Q73">
        <v>8</v>
      </c>
      <c r="R73">
        <v>2014</v>
      </c>
      <c r="S73" s="3">
        <v>41852</v>
      </c>
      <c r="T73" t="str">
        <f t="shared" si="1"/>
        <v>Very Low Discount</v>
      </c>
    </row>
    <row r="74" spans="1:20" x14ac:dyDescent="0.25">
      <c r="A74" t="s">
        <v>105</v>
      </c>
      <c r="B74" t="s">
        <v>54</v>
      </c>
      <c r="C74" t="s">
        <v>55</v>
      </c>
      <c r="D74" t="s">
        <v>49</v>
      </c>
      <c r="E74" t="s">
        <v>50</v>
      </c>
      <c r="F74" t="s">
        <v>39</v>
      </c>
      <c r="G74" s="1">
        <v>5</v>
      </c>
      <c r="H74" s="1">
        <v>15</v>
      </c>
      <c r="I74">
        <v>2498</v>
      </c>
      <c r="J74" s="2">
        <v>0.01</v>
      </c>
      <c r="K74" s="1">
        <v>37470</v>
      </c>
      <c r="L74" s="1">
        <v>374.7</v>
      </c>
      <c r="M74" s="1">
        <v>37095.300000000003</v>
      </c>
      <c r="N74" s="1">
        <v>12490</v>
      </c>
      <c r="O74" s="1">
        <v>24605.300000000003</v>
      </c>
      <c r="P74">
        <v>1</v>
      </c>
      <c r="Q74">
        <v>9</v>
      </c>
      <c r="R74">
        <v>2013</v>
      </c>
      <c r="S74" s="3">
        <v>41518</v>
      </c>
      <c r="T74" t="str">
        <f t="shared" si="1"/>
        <v>Very Low Discount</v>
      </c>
    </row>
    <row r="75" spans="1:20" x14ac:dyDescent="0.25">
      <c r="A75" t="s">
        <v>106</v>
      </c>
      <c r="B75" t="s">
        <v>54</v>
      </c>
      <c r="C75" t="s">
        <v>55</v>
      </c>
      <c r="D75" t="s">
        <v>46</v>
      </c>
      <c r="E75" t="s">
        <v>47</v>
      </c>
      <c r="F75" t="s">
        <v>39</v>
      </c>
      <c r="G75" s="1">
        <v>5</v>
      </c>
      <c r="H75" s="1">
        <v>15</v>
      </c>
      <c r="I75">
        <v>663</v>
      </c>
      <c r="J75" s="2">
        <v>0.01</v>
      </c>
      <c r="K75" s="1">
        <v>9945</v>
      </c>
      <c r="L75" s="1">
        <v>99.45</v>
      </c>
      <c r="M75" s="1">
        <v>9845.5499999999993</v>
      </c>
      <c r="N75" s="1">
        <v>3315</v>
      </c>
      <c r="O75" s="1">
        <v>6530.5499999999993</v>
      </c>
      <c r="P75">
        <v>1</v>
      </c>
      <c r="Q75">
        <v>10</v>
      </c>
      <c r="R75">
        <v>2013</v>
      </c>
      <c r="S75" s="3">
        <v>41548</v>
      </c>
      <c r="T75" t="str">
        <f t="shared" si="1"/>
        <v>Very Low Discount</v>
      </c>
    </row>
    <row r="76" spans="1:20" x14ac:dyDescent="0.25">
      <c r="A76" t="s">
        <v>107</v>
      </c>
      <c r="B76" t="s">
        <v>54</v>
      </c>
      <c r="C76" t="s">
        <v>55</v>
      </c>
      <c r="D76" t="s">
        <v>31</v>
      </c>
      <c r="E76" t="s">
        <v>32</v>
      </c>
      <c r="F76" t="s">
        <v>57</v>
      </c>
      <c r="G76" s="1">
        <v>10</v>
      </c>
      <c r="H76" s="1">
        <v>20</v>
      </c>
      <c r="I76">
        <v>1514</v>
      </c>
      <c r="J76" s="2">
        <v>0.01</v>
      </c>
      <c r="K76" s="1">
        <v>30280</v>
      </c>
      <c r="L76" s="1">
        <v>302.8</v>
      </c>
      <c r="M76" s="1">
        <v>29977.200000000001</v>
      </c>
      <c r="N76" s="1">
        <v>15140</v>
      </c>
      <c r="O76" s="1">
        <v>14837.2</v>
      </c>
      <c r="P76">
        <v>1</v>
      </c>
      <c r="Q76">
        <v>2</v>
      </c>
      <c r="R76">
        <v>2014</v>
      </c>
      <c r="S76" s="3">
        <v>41671</v>
      </c>
      <c r="T76" t="str">
        <f t="shared" si="1"/>
        <v>Very Low Discount</v>
      </c>
    </row>
    <row r="77" spans="1:20" x14ac:dyDescent="0.25">
      <c r="A77" t="s">
        <v>108</v>
      </c>
      <c r="B77" t="s">
        <v>54</v>
      </c>
      <c r="C77" t="s">
        <v>55</v>
      </c>
      <c r="D77" t="s">
        <v>22</v>
      </c>
      <c r="E77" t="s">
        <v>23</v>
      </c>
      <c r="F77" t="s">
        <v>57</v>
      </c>
      <c r="G77" s="1">
        <v>10</v>
      </c>
      <c r="H77" s="1">
        <v>20</v>
      </c>
      <c r="I77">
        <v>4492</v>
      </c>
      <c r="J77" s="2">
        <v>1.0001272102785905E-2</v>
      </c>
      <c r="K77" s="1">
        <v>89840</v>
      </c>
      <c r="L77" s="1">
        <v>898.51428571428573</v>
      </c>
      <c r="M77" s="1">
        <v>88941.485714285707</v>
      </c>
      <c r="N77" s="1">
        <v>44920</v>
      </c>
      <c r="O77" s="1">
        <v>44021.485714285707</v>
      </c>
      <c r="P77">
        <v>1</v>
      </c>
      <c r="Q77">
        <v>4</v>
      </c>
      <c r="R77">
        <v>2014</v>
      </c>
      <c r="S77" s="3">
        <v>41730</v>
      </c>
      <c r="T77" t="str">
        <f t="shared" si="1"/>
        <v>Very Low Discount</v>
      </c>
    </row>
    <row r="78" spans="1:20" x14ac:dyDescent="0.25">
      <c r="A78" t="s">
        <v>109</v>
      </c>
      <c r="B78" t="s">
        <v>54</v>
      </c>
      <c r="C78" t="s">
        <v>55</v>
      </c>
      <c r="D78" t="s">
        <v>46</v>
      </c>
      <c r="E78" t="s">
        <v>47</v>
      </c>
      <c r="F78" t="s">
        <v>57</v>
      </c>
      <c r="G78" s="1">
        <v>10</v>
      </c>
      <c r="H78" s="1">
        <v>20</v>
      </c>
      <c r="I78">
        <v>727</v>
      </c>
      <c r="J78" s="2">
        <v>0.01</v>
      </c>
      <c r="K78" s="1">
        <v>14540</v>
      </c>
      <c r="L78" s="1">
        <v>145.4</v>
      </c>
      <c r="M78" s="1">
        <v>14394.6</v>
      </c>
      <c r="N78" s="1">
        <v>7270</v>
      </c>
      <c r="O78" s="1">
        <v>7124.6</v>
      </c>
      <c r="P78">
        <v>1</v>
      </c>
      <c r="Q78">
        <v>6</v>
      </c>
      <c r="R78">
        <v>2014</v>
      </c>
      <c r="S78" s="3">
        <v>41791</v>
      </c>
      <c r="T78" t="str">
        <f t="shared" si="1"/>
        <v>Very Low Discount</v>
      </c>
    </row>
    <row r="79" spans="1:20" x14ac:dyDescent="0.25">
      <c r="A79" t="s">
        <v>110</v>
      </c>
      <c r="B79" t="s">
        <v>29</v>
      </c>
      <c r="C79" t="s">
        <v>30</v>
      </c>
      <c r="D79" t="s">
        <v>46</v>
      </c>
      <c r="E79" t="s">
        <v>47</v>
      </c>
      <c r="F79" t="s">
        <v>57</v>
      </c>
      <c r="G79" s="1">
        <v>10</v>
      </c>
      <c r="H79" s="1">
        <v>20</v>
      </c>
      <c r="I79">
        <v>787</v>
      </c>
      <c r="J79" s="2">
        <v>0.01</v>
      </c>
      <c r="K79" s="1">
        <v>15740</v>
      </c>
      <c r="L79" s="1">
        <v>157.4</v>
      </c>
      <c r="M79" s="1">
        <v>15582.6</v>
      </c>
      <c r="N79" s="1">
        <v>7870</v>
      </c>
      <c r="O79" s="1">
        <v>7712.6</v>
      </c>
      <c r="P79">
        <v>1</v>
      </c>
      <c r="Q79">
        <v>6</v>
      </c>
      <c r="R79">
        <v>2014</v>
      </c>
      <c r="S79" s="3">
        <v>41791</v>
      </c>
      <c r="T79" t="str">
        <f t="shared" si="1"/>
        <v>Very Low Discount</v>
      </c>
    </row>
    <row r="80" spans="1:20" x14ac:dyDescent="0.25">
      <c r="A80" t="s">
        <v>111</v>
      </c>
      <c r="B80" t="s">
        <v>35</v>
      </c>
      <c r="C80" t="s">
        <v>36</v>
      </c>
      <c r="D80" t="s">
        <v>46</v>
      </c>
      <c r="E80" t="s">
        <v>47</v>
      </c>
      <c r="F80" t="s">
        <v>57</v>
      </c>
      <c r="G80" s="1">
        <v>10</v>
      </c>
      <c r="H80" s="1">
        <v>20</v>
      </c>
      <c r="I80">
        <v>1823</v>
      </c>
      <c r="J80" s="2">
        <v>0.01</v>
      </c>
      <c r="K80" s="1">
        <v>36460</v>
      </c>
      <c r="L80" s="1">
        <v>364.6</v>
      </c>
      <c r="M80" s="1">
        <v>36095.4</v>
      </c>
      <c r="N80" s="1">
        <v>18230</v>
      </c>
      <c r="O80" s="1">
        <v>17865.400000000001</v>
      </c>
      <c r="P80">
        <v>1</v>
      </c>
      <c r="Q80">
        <v>7</v>
      </c>
      <c r="R80">
        <v>2014</v>
      </c>
      <c r="S80" s="3">
        <v>41821</v>
      </c>
      <c r="T80" t="str">
        <f t="shared" si="1"/>
        <v>Very Low Discount</v>
      </c>
    </row>
    <row r="81" spans="1:20" x14ac:dyDescent="0.25">
      <c r="A81" t="s">
        <v>112</v>
      </c>
      <c r="B81" t="s">
        <v>26</v>
      </c>
      <c r="C81" t="s">
        <v>27</v>
      </c>
      <c r="D81" t="s">
        <v>31</v>
      </c>
      <c r="E81" t="s">
        <v>32</v>
      </c>
      <c r="F81" t="s">
        <v>57</v>
      </c>
      <c r="G81" s="1">
        <v>10</v>
      </c>
      <c r="H81" s="1">
        <v>20</v>
      </c>
      <c r="I81">
        <v>747</v>
      </c>
      <c r="J81" s="2">
        <v>0.01</v>
      </c>
      <c r="K81" s="1">
        <v>14940</v>
      </c>
      <c r="L81" s="1">
        <v>149.4</v>
      </c>
      <c r="M81" s="1">
        <v>14790.6</v>
      </c>
      <c r="N81" s="1">
        <v>7470</v>
      </c>
      <c r="O81" s="1">
        <v>7320.6</v>
      </c>
      <c r="P81">
        <v>1</v>
      </c>
      <c r="Q81">
        <v>9</v>
      </c>
      <c r="R81">
        <v>2014</v>
      </c>
      <c r="S81" s="3">
        <v>41883</v>
      </c>
      <c r="T81" t="str">
        <f t="shared" si="1"/>
        <v>Very Low Discount</v>
      </c>
    </row>
    <row r="82" spans="1:20" x14ac:dyDescent="0.25">
      <c r="A82" t="s">
        <v>97</v>
      </c>
      <c r="B82" t="s">
        <v>26</v>
      </c>
      <c r="C82" t="s">
        <v>27</v>
      </c>
      <c r="D82" t="s">
        <v>41</v>
      </c>
      <c r="E82" t="s">
        <v>42</v>
      </c>
      <c r="F82" t="s">
        <v>57</v>
      </c>
      <c r="G82" s="1">
        <v>10</v>
      </c>
      <c r="H82" s="1">
        <v>20</v>
      </c>
      <c r="I82">
        <v>766</v>
      </c>
      <c r="J82" s="2">
        <v>0.01</v>
      </c>
      <c r="K82" s="1">
        <v>15320</v>
      </c>
      <c r="L82" s="1">
        <v>153.20000000000002</v>
      </c>
      <c r="M82" s="1">
        <v>15166.8</v>
      </c>
      <c r="N82" s="1">
        <v>7660</v>
      </c>
      <c r="O82" s="1">
        <v>7506.7999999999993</v>
      </c>
      <c r="P82">
        <v>1</v>
      </c>
      <c r="Q82">
        <v>10</v>
      </c>
      <c r="R82">
        <v>2013</v>
      </c>
      <c r="S82" s="3">
        <v>41548</v>
      </c>
      <c r="T82" t="str">
        <f t="shared" si="1"/>
        <v>Very Low Discount</v>
      </c>
    </row>
    <row r="83" spans="1:20" x14ac:dyDescent="0.25">
      <c r="A83" t="s">
        <v>113</v>
      </c>
      <c r="B83" t="s">
        <v>54</v>
      </c>
      <c r="C83" t="s">
        <v>55</v>
      </c>
      <c r="D83" t="s">
        <v>49</v>
      </c>
      <c r="E83" t="s">
        <v>50</v>
      </c>
      <c r="F83" t="s">
        <v>57</v>
      </c>
      <c r="G83" s="1">
        <v>10</v>
      </c>
      <c r="H83" s="1">
        <v>20</v>
      </c>
      <c r="I83">
        <v>2905</v>
      </c>
      <c r="J83" s="2">
        <v>0.01</v>
      </c>
      <c r="K83" s="1">
        <v>58100</v>
      </c>
      <c r="L83" s="1">
        <v>581</v>
      </c>
      <c r="M83" s="1">
        <v>57519</v>
      </c>
      <c r="N83" s="1">
        <v>29050</v>
      </c>
      <c r="O83" s="1">
        <v>28469</v>
      </c>
      <c r="P83">
        <v>1</v>
      </c>
      <c r="Q83">
        <v>11</v>
      </c>
      <c r="R83">
        <v>2014</v>
      </c>
      <c r="S83" s="3">
        <v>41944</v>
      </c>
      <c r="T83" t="str">
        <f t="shared" si="1"/>
        <v>Very Low Discount</v>
      </c>
    </row>
    <row r="84" spans="1:20" x14ac:dyDescent="0.25">
      <c r="A84" t="s">
        <v>100</v>
      </c>
      <c r="B84" t="s">
        <v>29</v>
      </c>
      <c r="C84" t="s">
        <v>30</v>
      </c>
      <c r="D84" t="s">
        <v>22</v>
      </c>
      <c r="E84" t="s">
        <v>23</v>
      </c>
      <c r="F84" t="s">
        <v>57</v>
      </c>
      <c r="G84" s="1">
        <v>10</v>
      </c>
      <c r="H84" s="1">
        <v>20</v>
      </c>
      <c r="I84">
        <v>2155</v>
      </c>
      <c r="J84" s="2">
        <v>0.01</v>
      </c>
      <c r="K84" s="1">
        <v>43100</v>
      </c>
      <c r="L84" s="1">
        <v>431</v>
      </c>
      <c r="M84" s="1">
        <v>42669</v>
      </c>
      <c r="N84" s="1">
        <v>21550</v>
      </c>
      <c r="O84" s="1">
        <v>21119</v>
      </c>
      <c r="P84">
        <v>1</v>
      </c>
      <c r="Q84">
        <v>12</v>
      </c>
      <c r="R84">
        <v>2014</v>
      </c>
      <c r="S84" s="3">
        <v>41974</v>
      </c>
      <c r="T84" t="str">
        <f t="shared" si="1"/>
        <v>Very Low Discount</v>
      </c>
    </row>
    <row r="85" spans="1:20" x14ac:dyDescent="0.25">
      <c r="A85" t="s">
        <v>114</v>
      </c>
      <c r="B85" t="s">
        <v>29</v>
      </c>
      <c r="C85" t="s">
        <v>30</v>
      </c>
      <c r="D85" t="s">
        <v>22</v>
      </c>
      <c r="E85" t="s">
        <v>23</v>
      </c>
      <c r="F85" t="s">
        <v>71</v>
      </c>
      <c r="G85" s="1">
        <v>120</v>
      </c>
      <c r="H85" s="1">
        <v>180</v>
      </c>
      <c r="I85">
        <v>3864</v>
      </c>
      <c r="J85" s="2">
        <v>0.01</v>
      </c>
      <c r="K85" s="1">
        <v>695520</v>
      </c>
      <c r="L85" s="1">
        <v>6955.2</v>
      </c>
      <c r="M85" s="1">
        <v>688564.8</v>
      </c>
      <c r="N85" s="1">
        <v>463680</v>
      </c>
      <c r="O85" s="1">
        <v>224884.80000000005</v>
      </c>
      <c r="P85">
        <v>1</v>
      </c>
      <c r="Q85">
        <v>4</v>
      </c>
      <c r="R85">
        <v>2014</v>
      </c>
      <c r="S85" s="3">
        <v>41730</v>
      </c>
      <c r="T85" t="str">
        <f t="shared" si="1"/>
        <v>Very Low Discount</v>
      </c>
    </row>
    <row r="86" spans="1:20" x14ac:dyDescent="0.25">
      <c r="A86" t="s">
        <v>115</v>
      </c>
      <c r="B86" t="s">
        <v>35</v>
      </c>
      <c r="C86" t="s">
        <v>36</v>
      </c>
      <c r="D86" t="s">
        <v>22</v>
      </c>
      <c r="E86" t="s">
        <v>23</v>
      </c>
      <c r="F86" t="s">
        <v>71</v>
      </c>
      <c r="G86" s="1">
        <v>120</v>
      </c>
      <c r="H86" s="1">
        <v>180</v>
      </c>
      <c r="I86">
        <v>362</v>
      </c>
      <c r="J86" s="2">
        <v>0.01</v>
      </c>
      <c r="K86" s="1">
        <v>65160</v>
      </c>
      <c r="L86" s="1">
        <v>651.6</v>
      </c>
      <c r="M86" s="1">
        <v>64508.4</v>
      </c>
      <c r="N86" s="1">
        <v>43440</v>
      </c>
      <c r="O86" s="1">
        <v>21068.400000000001</v>
      </c>
      <c r="P86">
        <v>1</v>
      </c>
      <c r="Q86">
        <v>5</v>
      </c>
      <c r="R86">
        <v>2014</v>
      </c>
      <c r="S86" s="3">
        <v>41760</v>
      </c>
      <c r="T86" t="str">
        <f t="shared" si="1"/>
        <v>Very Low Discount</v>
      </c>
    </row>
    <row r="87" spans="1:20" x14ac:dyDescent="0.25">
      <c r="A87" t="s">
        <v>116</v>
      </c>
      <c r="B87" t="s">
        <v>20</v>
      </c>
      <c r="C87" t="s">
        <v>21</v>
      </c>
      <c r="D87" t="s">
        <v>46</v>
      </c>
      <c r="E87" t="s">
        <v>47</v>
      </c>
      <c r="F87" t="s">
        <v>71</v>
      </c>
      <c r="G87" s="1">
        <v>120</v>
      </c>
      <c r="H87" s="1">
        <v>180</v>
      </c>
      <c r="I87">
        <v>923</v>
      </c>
      <c r="J87" s="2">
        <v>0.01</v>
      </c>
      <c r="K87" s="1">
        <v>166140</v>
      </c>
      <c r="L87" s="1">
        <v>1661.4</v>
      </c>
      <c r="M87" s="1">
        <v>164478.6</v>
      </c>
      <c r="N87" s="1">
        <v>110760</v>
      </c>
      <c r="O87" s="1">
        <v>53718.600000000006</v>
      </c>
      <c r="P87">
        <v>1</v>
      </c>
      <c r="Q87">
        <v>8</v>
      </c>
      <c r="R87">
        <v>2014</v>
      </c>
      <c r="S87" s="3">
        <v>41852</v>
      </c>
      <c r="T87" t="str">
        <f t="shared" si="1"/>
        <v>Very Low Discount</v>
      </c>
    </row>
    <row r="88" spans="1:20" x14ac:dyDescent="0.25">
      <c r="A88" t="s">
        <v>106</v>
      </c>
      <c r="B88" t="s">
        <v>54</v>
      </c>
      <c r="C88" t="s">
        <v>55</v>
      </c>
      <c r="D88" t="s">
        <v>46</v>
      </c>
      <c r="E88" t="s">
        <v>47</v>
      </c>
      <c r="F88" t="s">
        <v>71</v>
      </c>
      <c r="G88" s="1">
        <v>120</v>
      </c>
      <c r="H88" s="1">
        <v>180</v>
      </c>
      <c r="I88">
        <v>663</v>
      </c>
      <c r="J88" s="2">
        <v>0.01</v>
      </c>
      <c r="K88" s="1">
        <v>119340</v>
      </c>
      <c r="L88" s="1">
        <v>1193.4000000000001</v>
      </c>
      <c r="M88" s="1">
        <v>118146.6</v>
      </c>
      <c r="N88" s="1">
        <v>79560</v>
      </c>
      <c r="O88" s="1">
        <v>38586.600000000006</v>
      </c>
      <c r="P88">
        <v>1</v>
      </c>
      <c r="Q88">
        <v>10</v>
      </c>
      <c r="R88">
        <v>2013</v>
      </c>
      <c r="S88" s="3">
        <v>41548</v>
      </c>
      <c r="T88" t="str">
        <f t="shared" si="1"/>
        <v>Very Low Discount</v>
      </c>
    </row>
    <row r="89" spans="1:20" x14ac:dyDescent="0.25">
      <c r="A89" t="s">
        <v>66</v>
      </c>
      <c r="B89" t="s">
        <v>20</v>
      </c>
      <c r="C89" t="s">
        <v>21</v>
      </c>
      <c r="D89" t="s">
        <v>22</v>
      </c>
      <c r="E89" t="s">
        <v>23</v>
      </c>
      <c r="F89" t="s">
        <v>71</v>
      </c>
      <c r="G89" s="1">
        <v>120</v>
      </c>
      <c r="H89" s="1">
        <v>180</v>
      </c>
      <c r="I89">
        <v>2092</v>
      </c>
      <c r="J89" s="2">
        <v>0.01</v>
      </c>
      <c r="K89" s="1">
        <v>376560</v>
      </c>
      <c r="L89" s="1">
        <v>3765.6</v>
      </c>
      <c r="M89" s="1">
        <v>372794.4</v>
      </c>
      <c r="N89" s="1">
        <v>251040</v>
      </c>
      <c r="O89" s="1">
        <v>121754.40000000002</v>
      </c>
      <c r="P89">
        <v>1</v>
      </c>
      <c r="Q89">
        <v>11</v>
      </c>
      <c r="R89">
        <v>2013</v>
      </c>
      <c r="S89" s="3">
        <v>41579</v>
      </c>
      <c r="T89" t="str">
        <f t="shared" si="1"/>
        <v>Very Low Discount</v>
      </c>
    </row>
    <row r="90" spans="1:20" x14ac:dyDescent="0.25">
      <c r="A90" t="s">
        <v>117</v>
      </c>
      <c r="B90" t="s">
        <v>26</v>
      </c>
      <c r="C90" t="s">
        <v>27</v>
      </c>
      <c r="D90" t="s">
        <v>22</v>
      </c>
      <c r="E90" t="s">
        <v>23</v>
      </c>
      <c r="F90" t="s">
        <v>76</v>
      </c>
      <c r="G90" s="1">
        <v>250</v>
      </c>
      <c r="H90" s="1">
        <v>300</v>
      </c>
      <c r="I90">
        <v>263</v>
      </c>
      <c r="J90" s="2">
        <v>0.01</v>
      </c>
      <c r="K90" s="1">
        <v>78900</v>
      </c>
      <c r="L90" s="1">
        <v>789</v>
      </c>
      <c r="M90" s="1">
        <v>78111</v>
      </c>
      <c r="N90" s="1">
        <v>65750</v>
      </c>
      <c r="O90" s="1">
        <v>12361</v>
      </c>
      <c r="P90">
        <v>1</v>
      </c>
      <c r="Q90">
        <v>3</v>
      </c>
      <c r="R90">
        <v>2014</v>
      </c>
      <c r="S90" s="3">
        <v>41699</v>
      </c>
      <c r="T90" t="str">
        <f t="shared" si="1"/>
        <v>Very Low Discount</v>
      </c>
    </row>
    <row r="91" spans="1:20" x14ac:dyDescent="0.25">
      <c r="A91" t="s">
        <v>118</v>
      </c>
      <c r="B91" t="s">
        <v>20</v>
      </c>
      <c r="C91" t="s">
        <v>21</v>
      </c>
      <c r="D91" t="s">
        <v>22</v>
      </c>
      <c r="E91" t="s">
        <v>23</v>
      </c>
      <c r="F91" t="s">
        <v>76</v>
      </c>
      <c r="G91" s="1">
        <v>250</v>
      </c>
      <c r="H91" s="1">
        <v>300</v>
      </c>
      <c r="I91">
        <v>943</v>
      </c>
      <c r="J91" s="2">
        <v>1.0005302226935313E-2</v>
      </c>
      <c r="K91" s="1">
        <v>282900</v>
      </c>
      <c r="L91" s="1">
        <v>2830.5</v>
      </c>
      <c r="M91" s="1">
        <v>280069.5</v>
      </c>
      <c r="N91" s="1">
        <v>235750</v>
      </c>
      <c r="O91" s="1">
        <v>44319.5</v>
      </c>
      <c r="P91">
        <v>1</v>
      </c>
      <c r="Q91">
        <v>4</v>
      </c>
      <c r="R91">
        <v>2014</v>
      </c>
      <c r="S91" s="3">
        <v>41730</v>
      </c>
      <c r="T91" t="str">
        <f t="shared" si="1"/>
        <v>Very Low Discount</v>
      </c>
    </row>
    <row r="92" spans="1:20" x14ac:dyDescent="0.25">
      <c r="A92" t="s">
        <v>109</v>
      </c>
      <c r="B92" t="s">
        <v>54</v>
      </c>
      <c r="C92" t="s">
        <v>55</v>
      </c>
      <c r="D92" t="s">
        <v>46</v>
      </c>
      <c r="E92" t="s">
        <v>47</v>
      </c>
      <c r="F92" t="s">
        <v>76</v>
      </c>
      <c r="G92" s="1">
        <v>250</v>
      </c>
      <c r="H92" s="1">
        <v>300</v>
      </c>
      <c r="I92">
        <v>727</v>
      </c>
      <c r="J92" s="2">
        <v>0.01</v>
      </c>
      <c r="K92" s="1">
        <v>218100</v>
      </c>
      <c r="L92" s="1">
        <v>2181</v>
      </c>
      <c r="M92" s="1">
        <v>215919</v>
      </c>
      <c r="N92" s="1">
        <v>181750</v>
      </c>
      <c r="O92" s="1">
        <v>34169</v>
      </c>
      <c r="P92">
        <v>1</v>
      </c>
      <c r="Q92">
        <v>6</v>
      </c>
      <c r="R92">
        <v>2014</v>
      </c>
      <c r="S92" s="3">
        <v>41791</v>
      </c>
      <c r="T92" t="str">
        <f t="shared" si="1"/>
        <v>Very Low Discount</v>
      </c>
    </row>
    <row r="93" spans="1:20" x14ac:dyDescent="0.25">
      <c r="A93" t="s">
        <v>110</v>
      </c>
      <c r="B93" t="s">
        <v>29</v>
      </c>
      <c r="C93" t="s">
        <v>30</v>
      </c>
      <c r="D93" t="s">
        <v>46</v>
      </c>
      <c r="E93" t="s">
        <v>47</v>
      </c>
      <c r="F93" t="s">
        <v>76</v>
      </c>
      <c r="G93" s="1">
        <v>250</v>
      </c>
      <c r="H93" s="1">
        <v>300</v>
      </c>
      <c r="I93">
        <v>787</v>
      </c>
      <c r="J93" s="2">
        <v>0.01</v>
      </c>
      <c r="K93" s="1">
        <v>236100</v>
      </c>
      <c r="L93" s="1">
        <v>2361</v>
      </c>
      <c r="M93" s="1">
        <v>233739</v>
      </c>
      <c r="N93" s="1">
        <v>196750</v>
      </c>
      <c r="O93" s="1">
        <v>36989</v>
      </c>
      <c r="P93">
        <v>1</v>
      </c>
      <c r="Q93">
        <v>6</v>
      </c>
      <c r="R93">
        <v>2014</v>
      </c>
      <c r="S93" s="3">
        <v>41791</v>
      </c>
      <c r="T93" t="str">
        <f t="shared" si="1"/>
        <v>Very Low Discount</v>
      </c>
    </row>
    <row r="94" spans="1:20" x14ac:dyDescent="0.25">
      <c r="A94" t="s">
        <v>119</v>
      </c>
      <c r="B94" t="s">
        <v>26</v>
      </c>
      <c r="C94" t="s">
        <v>27</v>
      </c>
      <c r="D94" t="s">
        <v>49</v>
      </c>
      <c r="E94" t="s">
        <v>50</v>
      </c>
      <c r="F94" t="s">
        <v>76</v>
      </c>
      <c r="G94" s="1">
        <v>250</v>
      </c>
      <c r="H94" s="1">
        <v>300</v>
      </c>
      <c r="I94">
        <v>986</v>
      </c>
      <c r="J94" s="2">
        <v>0.01</v>
      </c>
      <c r="K94" s="1">
        <v>295800</v>
      </c>
      <c r="L94" s="1">
        <v>2958</v>
      </c>
      <c r="M94" s="1">
        <v>292842</v>
      </c>
      <c r="N94" s="1">
        <v>246500</v>
      </c>
      <c r="O94" s="1">
        <v>46342</v>
      </c>
      <c r="P94">
        <v>1</v>
      </c>
      <c r="Q94">
        <v>9</v>
      </c>
      <c r="R94">
        <v>2014</v>
      </c>
      <c r="S94" s="3">
        <v>41883</v>
      </c>
      <c r="T94" t="str">
        <f t="shared" si="1"/>
        <v>Very Low Discount</v>
      </c>
    </row>
    <row r="95" spans="1:20" x14ac:dyDescent="0.25">
      <c r="A95" t="s">
        <v>98</v>
      </c>
      <c r="B95" t="s">
        <v>35</v>
      </c>
      <c r="C95" t="s">
        <v>36</v>
      </c>
      <c r="D95" t="s">
        <v>49</v>
      </c>
      <c r="E95" t="s">
        <v>50</v>
      </c>
      <c r="F95" t="s">
        <v>76</v>
      </c>
      <c r="G95" s="1">
        <v>250</v>
      </c>
      <c r="H95" s="1">
        <v>300</v>
      </c>
      <c r="I95">
        <v>494</v>
      </c>
      <c r="J95" s="2">
        <v>0.01</v>
      </c>
      <c r="K95" s="1">
        <v>148200</v>
      </c>
      <c r="L95" s="1">
        <v>1482</v>
      </c>
      <c r="M95" s="1">
        <v>146718</v>
      </c>
      <c r="N95" s="1">
        <v>123500</v>
      </c>
      <c r="O95" s="1">
        <v>23218</v>
      </c>
      <c r="P95">
        <v>1</v>
      </c>
      <c r="Q95">
        <v>10</v>
      </c>
      <c r="R95">
        <v>2013</v>
      </c>
      <c r="S95" s="3">
        <v>41548</v>
      </c>
      <c r="T95" t="str">
        <f t="shared" si="1"/>
        <v>Very Low Discount</v>
      </c>
    </row>
    <row r="96" spans="1:20" x14ac:dyDescent="0.25">
      <c r="A96" t="s">
        <v>99</v>
      </c>
      <c r="B96" t="s">
        <v>35</v>
      </c>
      <c r="C96" t="s">
        <v>36</v>
      </c>
      <c r="D96" t="s">
        <v>22</v>
      </c>
      <c r="E96" t="s">
        <v>23</v>
      </c>
      <c r="F96" t="s">
        <v>76</v>
      </c>
      <c r="G96" s="1">
        <v>250</v>
      </c>
      <c r="H96" s="1">
        <v>300</v>
      </c>
      <c r="I96">
        <v>1397</v>
      </c>
      <c r="J96" s="2">
        <v>0.01</v>
      </c>
      <c r="K96" s="1">
        <v>419100</v>
      </c>
      <c r="L96" s="1">
        <v>4191</v>
      </c>
      <c r="M96" s="1">
        <v>414909</v>
      </c>
      <c r="N96" s="1">
        <v>349250</v>
      </c>
      <c r="O96" s="1">
        <v>65659</v>
      </c>
      <c r="P96">
        <v>1</v>
      </c>
      <c r="Q96">
        <v>10</v>
      </c>
      <c r="R96">
        <v>2014</v>
      </c>
      <c r="S96" s="3">
        <v>41913</v>
      </c>
      <c r="T96" t="str">
        <f t="shared" si="1"/>
        <v>Very Low Discount</v>
      </c>
    </row>
    <row r="97" spans="1:20" x14ac:dyDescent="0.25">
      <c r="A97" t="s">
        <v>120</v>
      </c>
      <c r="B97" t="s">
        <v>29</v>
      </c>
      <c r="C97" t="s">
        <v>30</v>
      </c>
      <c r="D97" t="s">
        <v>46</v>
      </c>
      <c r="E97" t="s">
        <v>47</v>
      </c>
      <c r="F97" t="s">
        <v>76</v>
      </c>
      <c r="G97" s="1">
        <v>250</v>
      </c>
      <c r="H97" s="1">
        <v>300</v>
      </c>
      <c r="I97">
        <v>1744</v>
      </c>
      <c r="J97" s="2">
        <v>0.01</v>
      </c>
      <c r="K97" s="1">
        <v>523200</v>
      </c>
      <c r="L97" s="1">
        <v>5232</v>
      </c>
      <c r="M97" s="1">
        <v>517968</v>
      </c>
      <c r="N97" s="1">
        <v>436000</v>
      </c>
      <c r="O97" s="1">
        <v>81968</v>
      </c>
      <c r="P97">
        <v>1</v>
      </c>
      <c r="Q97">
        <v>11</v>
      </c>
      <c r="R97">
        <v>2014</v>
      </c>
      <c r="S97" s="3">
        <v>41944</v>
      </c>
      <c r="T97" t="str">
        <f t="shared" si="1"/>
        <v>Very Low Discount</v>
      </c>
    </row>
    <row r="98" spans="1:20" x14ac:dyDescent="0.25">
      <c r="A98" t="s">
        <v>121</v>
      </c>
      <c r="B98" t="s">
        <v>54</v>
      </c>
      <c r="C98" t="s">
        <v>55</v>
      </c>
      <c r="D98" t="s">
        <v>41</v>
      </c>
      <c r="E98" t="s">
        <v>42</v>
      </c>
      <c r="F98" t="s">
        <v>81</v>
      </c>
      <c r="G98" s="1">
        <v>200</v>
      </c>
      <c r="H98" s="1">
        <v>350</v>
      </c>
      <c r="I98">
        <v>1989</v>
      </c>
      <c r="J98" s="2">
        <v>0.01</v>
      </c>
      <c r="K98" s="1">
        <v>696150</v>
      </c>
      <c r="L98" s="1">
        <v>6961.5</v>
      </c>
      <c r="M98" s="1">
        <v>689188.5</v>
      </c>
      <c r="N98" s="1">
        <v>397800</v>
      </c>
      <c r="O98" s="1">
        <v>291388.5</v>
      </c>
      <c r="P98">
        <v>1</v>
      </c>
      <c r="Q98">
        <v>9</v>
      </c>
      <c r="R98">
        <v>2013</v>
      </c>
      <c r="S98" s="3">
        <v>41518</v>
      </c>
      <c r="T98" t="str">
        <f t="shared" si="1"/>
        <v>Very Low Discount</v>
      </c>
    </row>
    <row r="99" spans="1:20" x14ac:dyDescent="0.25">
      <c r="A99" t="s">
        <v>122</v>
      </c>
      <c r="B99" t="s">
        <v>29</v>
      </c>
      <c r="C99" t="s">
        <v>30</v>
      </c>
      <c r="D99" t="s">
        <v>31</v>
      </c>
      <c r="E99" t="s">
        <v>32</v>
      </c>
      <c r="F99" t="s">
        <v>81</v>
      </c>
      <c r="G99" s="1">
        <v>200</v>
      </c>
      <c r="H99" s="1">
        <v>350</v>
      </c>
      <c r="I99">
        <v>321</v>
      </c>
      <c r="J99" s="2">
        <v>0.01</v>
      </c>
      <c r="K99" s="1">
        <v>112350</v>
      </c>
      <c r="L99" s="1">
        <v>1123.5</v>
      </c>
      <c r="M99" s="1">
        <v>111226.5</v>
      </c>
      <c r="N99" s="1">
        <v>64200</v>
      </c>
      <c r="O99" s="1">
        <v>47026.5</v>
      </c>
      <c r="P99">
        <v>1</v>
      </c>
      <c r="Q99">
        <v>11</v>
      </c>
      <c r="R99">
        <v>2013</v>
      </c>
      <c r="S99" s="3">
        <v>41579</v>
      </c>
      <c r="T99" t="str">
        <f t="shared" si="1"/>
        <v>Very Low Discount</v>
      </c>
    </row>
    <row r="100" spans="1:20" x14ac:dyDescent="0.25">
      <c r="A100" t="s">
        <v>123</v>
      </c>
      <c r="B100" t="s">
        <v>20</v>
      </c>
      <c r="C100" t="s">
        <v>21</v>
      </c>
      <c r="D100" t="s">
        <v>46</v>
      </c>
      <c r="E100" t="s">
        <v>47</v>
      </c>
      <c r="F100" t="s">
        <v>24</v>
      </c>
      <c r="G100" s="1">
        <v>3</v>
      </c>
      <c r="H100" s="1">
        <v>20</v>
      </c>
      <c r="I100">
        <v>742</v>
      </c>
      <c r="J100" s="2">
        <v>2.0013477088948788E-2</v>
      </c>
      <c r="K100" s="1">
        <v>14840</v>
      </c>
      <c r="L100" s="1">
        <v>297</v>
      </c>
      <c r="M100" s="1">
        <v>14543</v>
      </c>
      <c r="N100" s="1">
        <v>2226</v>
      </c>
      <c r="O100" s="1">
        <v>12317</v>
      </c>
      <c r="P100">
        <v>1</v>
      </c>
      <c r="Q100">
        <v>4</v>
      </c>
      <c r="R100">
        <v>2014</v>
      </c>
      <c r="S100" s="3">
        <v>41730</v>
      </c>
      <c r="T100" t="str">
        <f t="shared" si="1"/>
        <v>Very Low Discount</v>
      </c>
    </row>
    <row r="101" spans="1:20" x14ac:dyDescent="0.25">
      <c r="A101" t="s">
        <v>124</v>
      </c>
      <c r="B101" t="s">
        <v>20</v>
      </c>
      <c r="C101" t="s">
        <v>21</v>
      </c>
      <c r="D101" t="s">
        <v>41</v>
      </c>
      <c r="E101" t="s">
        <v>42</v>
      </c>
      <c r="F101" t="s">
        <v>24</v>
      </c>
      <c r="G101" s="1">
        <v>3</v>
      </c>
      <c r="H101" s="1">
        <v>20</v>
      </c>
      <c r="I101">
        <v>1295</v>
      </c>
      <c r="J101" s="2">
        <v>0.02</v>
      </c>
      <c r="K101" s="1">
        <v>25900</v>
      </c>
      <c r="L101" s="1">
        <v>518</v>
      </c>
      <c r="M101" s="1">
        <v>25382</v>
      </c>
      <c r="N101" s="1">
        <v>3885</v>
      </c>
      <c r="O101" s="1">
        <v>21497</v>
      </c>
      <c r="P101">
        <v>1</v>
      </c>
      <c r="Q101">
        <v>10</v>
      </c>
      <c r="R101">
        <v>2014</v>
      </c>
      <c r="S101" s="3">
        <v>41913</v>
      </c>
      <c r="T101" t="str">
        <f t="shared" si="1"/>
        <v>Very Low Discount</v>
      </c>
    </row>
    <row r="102" spans="1:20" x14ac:dyDescent="0.25">
      <c r="A102" t="s">
        <v>125</v>
      </c>
      <c r="B102" t="s">
        <v>26</v>
      </c>
      <c r="C102" t="s">
        <v>27</v>
      </c>
      <c r="D102" t="s">
        <v>49</v>
      </c>
      <c r="E102" t="s">
        <v>50</v>
      </c>
      <c r="F102" t="s">
        <v>24</v>
      </c>
      <c r="G102" s="1">
        <v>3</v>
      </c>
      <c r="H102" s="1">
        <v>20</v>
      </c>
      <c r="I102">
        <v>214</v>
      </c>
      <c r="J102" s="2">
        <v>0.02</v>
      </c>
      <c r="K102" s="1">
        <v>4280</v>
      </c>
      <c r="L102" s="1">
        <v>85.600000000000009</v>
      </c>
      <c r="M102" s="1">
        <v>4194.3999999999996</v>
      </c>
      <c r="N102" s="1">
        <v>642</v>
      </c>
      <c r="O102" s="1">
        <v>3552.3999999999996</v>
      </c>
      <c r="P102">
        <v>1</v>
      </c>
      <c r="Q102">
        <v>10</v>
      </c>
      <c r="R102">
        <v>2013</v>
      </c>
      <c r="S102" s="3">
        <v>41548</v>
      </c>
      <c r="T102" t="str">
        <f t="shared" si="1"/>
        <v>Very Low Discount</v>
      </c>
    </row>
    <row r="103" spans="1:20" x14ac:dyDescent="0.25">
      <c r="A103" t="s">
        <v>126</v>
      </c>
      <c r="B103" t="s">
        <v>29</v>
      </c>
      <c r="C103" t="s">
        <v>30</v>
      </c>
      <c r="D103" t="s">
        <v>22</v>
      </c>
      <c r="E103" t="s">
        <v>23</v>
      </c>
      <c r="F103" t="s">
        <v>24</v>
      </c>
      <c r="G103" s="1">
        <v>3</v>
      </c>
      <c r="H103" s="1">
        <v>20</v>
      </c>
      <c r="I103">
        <v>2145</v>
      </c>
      <c r="J103" s="2">
        <v>0.02</v>
      </c>
      <c r="K103" s="1">
        <v>42900</v>
      </c>
      <c r="L103" s="1">
        <v>858</v>
      </c>
      <c r="M103" s="1">
        <v>42042</v>
      </c>
      <c r="N103" s="1">
        <v>6435</v>
      </c>
      <c r="O103" s="1">
        <v>35607</v>
      </c>
      <c r="P103">
        <v>1</v>
      </c>
      <c r="Q103">
        <v>11</v>
      </c>
      <c r="R103">
        <v>2013</v>
      </c>
      <c r="S103" s="3">
        <v>41579</v>
      </c>
      <c r="T103" t="str">
        <f t="shared" si="1"/>
        <v>Very Low Discount</v>
      </c>
    </row>
    <row r="104" spans="1:20" x14ac:dyDescent="0.25">
      <c r="A104" t="s">
        <v>69</v>
      </c>
      <c r="B104" t="s">
        <v>20</v>
      </c>
      <c r="C104" t="s">
        <v>21</v>
      </c>
      <c r="D104" t="s">
        <v>22</v>
      </c>
      <c r="E104" t="s">
        <v>23</v>
      </c>
      <c r="F104" t="s">
        <v>24</v>
      </c>
      <c r="G104" s="1">
        <v>3</v>
      </c>
      <c r="H104" s="1">
        <v>20</v>
      </c>
      <c r="I104">
        <v>2852</v>
      </c>
      <c r="J104" s="2">
        <v>0.02</v>
      </c>
      <c r="K104" s="1">
        <v>57040</v>
      </c>
      <c r="L104" s="1">
        <v>1140.8</v>
      </c>
      <c r="M104" s="1">
        <v>55899.199999999997</v>
      </c>
      <c r="N104" s="1">
        <v>8556</v>
      </c>
      <c r="O104" s="1">
        <v>47343.199999999997</v>
      </c>
      <c r="P104">
        <v>1</v>
      </c>
      <c r="Q104">
        <v>12</v>
      </c>
      <c r="R104">
        <v>2014</v>
      </c>
      <c r="S104" s="3">
        <v>41974</v>
      </c>
      <c r="T104" t="str">
        <f t="shared" si="1"/>
        <v>Very Low Discount</v>
      </c>
    </row>
    <row r="105" spans="1:20" x14ac:dyDescent="0.25">
      <c r="A105" t="s">
        <v>127</v>
      </c>
      <c r="B105" t="s">
        <v>54</v>
      </c>
      <c r="C105" t="s">
        <v>55</v>
      </c>
      <c r="D105" t="s">
        <v>41</v>
      </c>
      <c r="E105" t="s">
        <v>42</v>
      </c>
      <c r="F105" t="s">
        <v>39</v>
      </c>
      <c r="G105" s="1">
        <v>5</v>
      </c>
      <c r="H105" s="1">
        <v>15</v>
      </c>
      <c r="I105">
        <v>1142</v>
      </c>
      <c r="J105" s="2">
        <v>0.02</v>
      </c>
      <c r="K105" s="1">
        <v>17130</v>
      </c>
      <c r="L105" s="1">
        <v>342.6</v>
      </c>
      <c r="M105" s="1">
        <v>16787.400000000001</v>
      </c>
      <c r="N105" s="1">
        <v>5710</v>
      </c>
      <c r="O105" s="1">
        <v>11077.400000000001</v>
      </c>
      <c r="P105">
        <v>1</v>
      </c>
      <c r="Q105">
        <v>6</v>
      </c>
      <c r="R105">
        <v>2014</v>
      </c>
      <c r="S105" s="3">
        <v>41791</v>
      </c>
      <c r="T105" t="str">
        <f t="shared" si="1"/>
        <v>Very Low Discount</v>
      </c>
    </row>
    <row r="106" spans="1:20" x14ac:dyDescent="0.25">
      <c r="A106" t="s">
        <v>65</v>
      </c>
      <c r="B106" t="s">
        <v>54</v>
      </c>
      <c r="C106" t="s">
        <v>55</v>
      </c>
      <c r="D106" t="s">
        <v>22</v>
      </c>
      <c r="E106" t="s">
        <v>23</v>
      </c>
      <c r="F106" t="s">
        <v>39</v>
      </c>
      <c r="G106" s="1">
        <v>5</v>
      </c>
      <c r="H106" s="1">
        <v>15</v>
      </c>
      <c r="I106">
        <v>1566</v>
      </c>
      <c r="J106" s="2">
        <v>0.02</v>
      </c>
      <c r="K106" s="1">
        <v>23490</v>
      </c>
      <c r="L106" s="1">
        <v>469.8</v>
      </c>
      <c r="M106" s="1">
        <v>23020.2</v>
      </c>
      <c r="N106" s="1">
        <v>7830</v>
      </c>
      <c r="O106" s="1">
        <v>15190.2</v>
      </c>
      <c r="P106">
        <v>1</v>
      </c>
      <c r="Q106">
        <v>10</v>
      </c>
      <c r="R106">
        <v>2014</v>
      </c>
      <c r="S106" s="3">
        <v>41913</v>
      </c>
      <c r="T106" t="str">
        <f t="shared" si="1"/>
        <v>Very Low Discount</v>
      </c>
    </row>
    <row r="107" spans="1:20" x14ac:dyDescent="0.25">
      <c r="A107" t="s">
        <v>128</v>
      </c>
      <c r="B107" t="s">
        <v>35</v>
      </c>
      <c r="C107" t="s">
        <v>36</v>
      </c>
      <c r="D107" t="s">
        <v>41</v>
      </c>
      <c r="E107" t="s">
        <v>42</v>
      </c>
      <c r="F107" t="s">
        <v>39</v>
      </c>
      <c r="G107" s="1">
        <v>5</v>
      </c>
      <c r="H107" s="1">
        <v>15</v>
      </c>
      <c r="I107">
        <v>690</v>
      </c>
      <c r="J107" s="2">
        <v>0.02</v>
      </c>
      <c r="K107" s="1">
        <v>10350</v>
      </c>
      <c r="L107" s="1">
        <v>207</v>
      </c>
      <c r="M107" s="1">
        <v>10143</v>
      </c>
      <c r="N107" s="1">
        <v>3450</v>
      </c>
      <c r="O107" s="1">
        <v>6693</v>
      </c>
      <c r="P107">
        <v>1</v>
      </c>
      <c r="Q107">
        <v>11</v>
      </c>
      <c r="R107">
        <v>2014</v>
      </c>
      <c r="S107" s="3">
        <v>41944</v>
      </c>
      <c r="T107" t="str">
        <f t="shared" si="1"/>
        <v>Very Low Discount</v>
      </c>
    </row>
    <row r="108" spans="1:20" x14ac:dyDescent="0.25">
      <c r="A108" t="s">
        <v>129</v>
      </c>
      <c r="B108" t="s">
        <v>35</v>
      </c>
      <c r="C108" t="s">
        <v>36</v>
      </c>
      <c r="D108" t="s">
        <v>46</v>
      </c>
      <c r="E108" t="s">
        <v>47</v>
      </c>
      <c r="F108" t="s">
        <v>39</v>
      </c>
      <c r="G108" s="1">
        <v>5</v>
      </c>
      <c r="H108" s="1">
        <v>15</v>
      </c>
      <c r="I108">
        <v>1660</v>
      </c>
      <c r="J108" s="2">
        <v>0.02</v>
      </c>
      <c r="K108" s="1">
        <v>24900</v>
      </c>
      <c r="L108" s="1">
        <v>498</v>
      </c>
      <c r="M108" s="1">
        <v>24402</v>
      </c>
      <c r="N108" s="1">
        <v>8300</v>
      </c>
      <c r="O108" s="1">
        <v>16102</v>
      </c>
      <c r="P108">
        <v>1</v>
      </c>
      <c r="Q108">
        <v>11</v>
      </c>
      <c r="R108">
        <v>2013</v>
      </c>
      <c r="S108" s="3">
        <v>41579</v>
      </c>
      <c r="T108" t="str">
        <f t="shared" si="1"/>
        <v>Very Low Discount</v>
      </c>
    </row>
    <row r="109" spans="1:20" x14ac:dyDescent="0.25">
      <c r="A109" t="s">
        <v>130</v>
      </c>
      <c r="B109" t="s">
        <v>20</v>
      </c>
      <c r="C109" t="s">
        <v>21</v>
      </c>
      <c r="D109" t="s">
        <v>31</v>
      </c>
      <c r="E109" t="s">
        <v>32</v>
      </c>
      <c r="F109" t="s">
        <v>57</v>
      </c>
      <c r="G109" s="1">
        <v>10</v>
      </c>
      <c r="H109" s="1">
        <v>20</v>
      </c>
      <c r="I109">
        <v>2363</v>
      </c>
      <c r="J109" s="2">
        <v>0.02</v>
      </c>
      <c r="K109" s="1">
        <v>47260</v>
      </c>
      <c r="L109" s="1">
        <v>945.2</v>
      </c>
      <c r="M109" s="1">
        <v>46314.8</v>
      </c>
      <c r="N109" s="1">
        <v>23630</v>
      </c>
      <c r="O109" s="1">
        <v>22684.800000000003</v>
      </c>
      <c r="P109">
        <v>1</v>
      </c>
      <c r="Q109">
        <v>2</v>
      </c>
      <c r="R109">
        <v>2014</v>
      </c>
      <c r="S109" s="3">
        <v>41671</v>
      </c>
      <c r="T109" t="str">
        <f t="shared" si="1"/>
        <v>Very Low Discount</v>
      </c>
    </row>
    <row r="110" spans="1:20" x14ac:dyDescent="0.25">
      <c r="A110" t="s">
        <v>131</v>
      </c>
      <c r="B110" t="s">
        <v>29</v>
      </c>
      <c r="C110" t="s">
        <v>30</v>
      </c>
      <c r="D110" t="s">
        <v>49</v>
      </c>
      <c r="E110" t="s">
        <v>50</v>
      </c>
      <c r="F110" t="s">
        <v>57</v>
      </c>
      <c r="G110" s="1">
        <v>10</v>
      </c>
      <c r="H110" s="1">
        <v>20</v>
      </c>
      <c r="I110">
        <v>918</v>
      </c>
      <c r="J110" s="2">
        <v>0.02</v>
      </c>
      <c r="K110" s="1">
        <v>18360</v>
      </c>
      <c r="L110" s="1">
        <v>367.2</v>
      </c>
      <c r="M110" s="1">
        <v>17992.8</v>
      </c>
      <c r="N110" s="1">
        <v>9180</v>
      </c>
      <c r="O110" s="1">
        <v>8812.7999999999993</v>
      </c>
      <c r="P110">
        <v>1</v>
      </c>
      <c r="Q110">
        <v>5</v>
      </c>
      <c r="R110">
        <v>2014</v>
      </c>
      <c r="S110" s="3">
        <v>41760</v>
      </c>
      <c r="T110" t="str">
        <f t="shared" si="1"/>
        <v>Very Low Discount</v>
      </c>
    </row>
    <row r="111" spans="1:20" x14ac:dyDescent="0.25">
      <c r="A111" t="s">
        <v>132</v>
      </c>
      <c r="B111" t="s">
        <v>26</v>
      </c>
      <c r="C111" t="s">
        <v>27</v>
      </c>
      <c r="D111" t="s">
        <v>49</v>
      </c>
      <c r="E111" t="s">
        <v>50</v>
      </c>
      <c r="F111" t="s">
        <v>57</v>
      </c>
      <c r="G111" s="1">
        <v>10</v>
      </c>
      <c r="H111" s="1">
        <v>20</v>
      </c>
      <c r="I111">
        <v>1728</v>
      </c>
      <c r="J111" s="2">
        <v>0.02</v>
      </c>
      <c r="K111" s="1">
        <v>34560</v>
      </c>
      <c r="L111" s="1">
        <v>691.2</v>
      </c>
      <c r="M111" s="1">
        <v>33868.800000000003</v>
      </c>
      <c r="N111" s="1">
        <v>17280</v>
      </c>
      <c r="O111" s="1">
        <v>16588.800000000003</v>
      </c>
      <c r="P111">
        <v>1</v>
      </c>
      <c r="Q111">
        <v>5</v>
      </c>
      <c r="R111">
        <v>2014</v>
      </c>
      <c r="S111" s="3">
        <v>41760</v>
      </c>
      <c r="T111" t="str">
        <f t="shared" si="1"/>
        <v>Very Low Discount</v>
      </c>
    </row>
    <row r="112" spans="1:20" x14ac:dyDescent="0.25">
      <c r="A112" t="s">
        <v>127</v>
      </c>
      <c r="B112" t="s">
        <v>54</v>
      </c>
      <c r="C112" t="s">
        <v>55</v>
      </c>
      <c r="D112" t="s">
        <v>41</v>
      </c>
      <c r="E112" t="s">
        <v>42</v>
      </c>
      <c r="F112" t="s">
        <v>57</v>
      </c>
      <c r="G112" s="1">
        <v>10</v>
      </c>
      <c r="H112" s="1">
        <v>20</v>
      </c>
      <c r="I112">
        <v>1142</v>
      </c>
      <c r="J112" s="2">
        <v>0.02</v>
      </c>
      <c r="K112" s="1">
        <v>22840</v>
      </c>
      <c r="L112" s="1">
        <v>456.8</v>
      </c>
      <c r="M112" s="1">
        <v>22383.200000000001</v>
      </c>
      <c r="N112" s="1">
        <v>11420</v>
      </c>
      <c r="O112" s="1">
        <v>10963.2</v>
      </c>
      <c r="P112">
        <v>1</v>
      </c>
      <c r="Q112">
        <v>6</v>
      </c>
      <c r="R112">
        <v>2014</v>
      </c>
      <c r="S112" s="3">
        <v>41791</v>
      </c>
      <c r="T112" t="str">
        <f t="shared" si="1"/>
        <v>Very Low Discount</v>
      </c>
    </row>
    <row r="113" spans="1:20" x14ac:dyDescent="0.25">
      <c r="A113" t="s">
        <v>133</v>
      </c>
      <c r="B113" t="s">
        <v>35</v>
      </c>
      <c r="C113" t="s">
        <v>36</v>
      </c>
      <c r="D113" t="s">
        <v>46</v>
      </c>
      <c r="E113" t="s">
        <v>47</v>
      </c>
      <c r="F113" t="s">
        <v>57</v>
      </c>
      <c r="G113" s="1">
        <v>10</v>
      </c>
      <c r="H113" s="1">
        <v>20</v>
      </c>
      <c r="I113">
        <v>662</v>
      </c>
      <c r="J113" s="2">
        <v>0.02</v>
      </c>
      <c r="K113" s="1">
        <v>13240</v>
      </c>
      <c r="L113" s="1">
        <v>264.8</v>
      </c>
      <c r="M113" s="1">
        <v>12975.2</v>
      </c>
      <c r="N113" s="1">
        <v>6620</v>
      </c>
      <c r="O113" s="1">
        <v>6355.2000000000007</v>
      </c>
      <c r="P113">
        <v>1</v>
      </c>
      <c r="Q113">
        <v>6</v>
      </c>
      <c r="R113">
        <v>2014</v>
      </c>
      <c r="S113" s="3">
        <v>41791</v>
      </c>
      <c r="T113" t="str">
        <f t="shared" si="1"/>
        <v>Very Low Discount</v>
      </c>
    </row>
    <row r="114" spans="1:20" x14ac:dyDescent="0.25">
      <c r="A114" t="s">
        <v>124</v>
      </c>
      <c r="B114" t="s">
        <v>20</v>
      </c>
      <c r="C114" t="s">
        <v>21</v>
      </c>
      <c r="D114" t="s">
        <v>41</v>
      </c>
      <c r="E114" t="s">
        <v>42</v>
      </c>
      <c r="F114" t="s">
        <v>57</v>
      </c>
      <c r="G114" s="1">
        <v>10</v>
      </c>
      <c r="H114" s="1">
        <v>20</v>
      </c>
      <c r="I114">
        <v>1295</v>
      </c>
      <c r="J114" s="2">
        <v>0.02</v>
      </c>
      <c r="K114" s="1">
        <v>25900</v>
      </c>
      <c r="L114" s="1">
        <v>518</v>
      </c>
      <c r="M114" s="1">
        <v>25382</v>
      </c>
      <c r="N114" s="1">
        <v>12950</v>
      </c>
      <c r="O114" s="1">
        <v>12432</v>
      </c>
      <c r="P114">
        <v>1</v>
      </c>
      <c r="Q114">
        <v>10</v>
      </c>
      <c r="R114">
        <v>2014</v>
      </c>
      <c r="S114" s="3">
        <v>41913</v>
      </c>
      <c r="T114" t="str">
        <f t="shared" si="1"/>
        <v>Very Low Discount</v>
      </c>
    </row>
    <row r="115" spans="1:20" x14ac:dyDescent="0.25">
      <c r="A115" t="s">
        <v>134</v>
      </c>
      <c r="B115" t="s">
        <v>26</v>
      </c>
      <c r="C115" t="s">
        <v>27</v>
      </c>
      <c r="D115" t="s">
        <v>46</v>
      </c>
      <c r="E115" t="s">
        <v>47</v>
      </c>
      <c r="F115" t="s">
        <v>57</v>
      </c>
      <c r="G115" s="1">
        <v>10</v>
      </c>
      <c r="H115" s="1">
        <v>20</v>
      </c>
      <c r="I115">
        <v>809</v>
      </c>
      <c r="J115" s="2">
        <v>0.02</v>
      </c>
      <c r="K115" s="1">
        <v>16180</v>
      </c>
      <c r="L115" s="1">
        <v>323.60000000000002</v>
      </c>
      <c r="M115" s="1">
        <v>15856.4</v>
      </c>
      <c r="N115" s="1">
        <v>8090</v>
      </c>
      <c r="O115" s="1">
        <v>7766.4</v>
      </c>
      <c r="P115">
        <v>1</v>
      </c>
      <c r="Q115">
        <v>10</v>
      </c>
      <c r="R115">
        <v>2013</v>
      </c>
      <c r="S115" s="3">
        <v>41548</v>
      </c>
      <c r="T115" t="str">
        <f t="shared" si="1"/>
        <v>Very Low Discount</v>
      </c>
    </row>
    <row r="116" spans="1:20" x14ac:dyDescent="0.25">
      <c r="A116" t="s">
        <v>135</v>
      </c>
      <c r="B116" t="s">
        <v>35</v>
      </c>
      <c r="C116" t="s">
        <v>36</v>
      </c>
      <c r="D116" t="s">
        <v>46</v>
      </c>
      <c r="E116" t="s">
        <v>47</v>
      </c>
      <c r="F116" t="s">
        <v>57</v>
      </c>
      <c r="G116" s="1">
        <v>10</v>
      </c>
      <c r="H116" s="1">
        <v>20</v>
      </c>
      <c r="I116">
        <v>2145</v>
      </c>
      <c r="J116" s="2">
        <v>0.02</v>
      </c>
      <c r="K116" s="1">
        <v>42900</v>
      </c>
      <c r="L116" s="1">
        <v>858</v>
      </c>
      <c r="M116" s="1">
        <v>42042</v>
      </c>
      <c r="N116" s="1">
        <v>21450</v>
      </c>
      <c r="O116" s="1">
        <v>20592</v>
      </c>
      <c r="P116">
        <v>1</v>
      </c>
      <c r="Q116">
        <v>10</v>
      </c>
      <c r="R116">
        <v>2013</v>
      </c>
      <c r="S116" s="3">
        <v>41548</v>
      </c>
      <c r="T116" t="str">
        <f t="shared" si="1"/>
        <v>Very Low Discount</v>
      </c>
    </row>
    <row r="117" spans="1:20" x14ac:dyDescent="0.25">
      <c r="A117" t="s">
        <v>136</v>
      </c>
      <c r="B117" t="s">
        <v>29</v>
      </c>
      <c r="C117" t="s">
        <v>30</v>
      </c>
      <c r="D117" t="s">
        <v>41</v>
      </c>
      <c r="E117" t="s">
        <v>42</v>
      </c>
      <c r="F117" t="s">
        <v>57</v>
      </c>
      <c r="G117" s="1">
        <v>10</v>
      </c>
      <c r="H117" s="1">
        <v>20</v>
      </c>
      <c r="I117">
        <v>1785</v>
      </c>
      <c r="J117" s="2">
        <v>0.02</v>
      </c>
      <c r="K117" s="1">
        <v>35700</v>
      </c>
      <c r="L117" s="1">
        <v>714</v>
      </c>
      <c r="M117" s="1">
        <v>34986</v>
      </c>
      <c r="N117" s="1">
        <v>17850</v>
      </c>
      <c r="O117" s="1">
        <v>17136</v>
      </c>
      <c r="P117">
        <v>1</v>
      </c>
      <c r="Q117">
        <v>11</v>
      </c>
      <c r="R117">
        <v>2013</v>
      </c>
      <c r="S117" s="3">
        <v>41579</v>
      </c>
      <c r="T117" t="str">
        <f t="shared" si="1"/>
        <v>Very Low Discount</v>
      </c>
    </row>
    <row r="118" spans="1:20" x14ac:dyDescent="0.25">
      <c r="A118" t="s">
        <v>137</v>
      </c>
      <c r="B118" t="s">
        <v>20</v>
      </c>
      <c r="C118" t="s">
        <v>21</v>
      </c>
      <c r="D118" t="s">
        <v>49</v>
      </c>
      <c r="E118" t="s">
        <v>50</v>
      </c>
      <c r="F118" t="s">
        <v>57</v>
      </c>
      <c r="G118" s="1">
        <v>10</v>
      </c>
      <c r="H118" s="1">
        <v>20</v>
      </c>
      <c r="I118">
        <v>1916</v>
      </c>
      <c r="J118" s="2">
        <v>0.02</v>
      </c>
      <c r="K118" s="1">
        <v>38320</v>
      </c>
      <c r="L118" s="1">
        <v>766.4</v>
      </c>
      <c r="M118" s="1">
        <v>37553.599999999999</v>
      </c>
      <c r="N118" s="1">
        <v>19160</v>
      </c>
      <c r="O118" s="1">
        <v>18393.599999999999</v>
      </c>
      <c r="P118">
        <v>1</v>
      </c>
      <c r="Q118">
        <v>12</v>
      </c>
      <c r="R118">
        <v>2014</v>
      </c>
      <c r="S118" s="3">
        <v>41974</v>
      </c>
      <c r="T118" t="str">
        <f t="shared" si="1"/>
        <v>Very Low Discount</v>
      </c>
    </row>
    <row r="119" spans="1:20" x14ac:dyDescent="0.25">
      <c r="A119" t="s">
        <v>69</v>
      </c>
      <c r="B119" t="s">
        <v>20</v>
      </c>
      <c r="C119" t="s">
        <v>21</v>
      </c>
      <c r="D119" t="s">
        <v>22</v>
      </c>
      <c r="E119" t="s">
        <v>23</v>
      </c>
      <c r="F119" t="s">
        <v>57</v>
      </c>
      <c r="G119" s="1">
        <v>10</v>
      </c>
      <c r="H119" s="1">
        <v>20</v>
      </c>
      <c r="I119">
        <v>2852</v>
      </c>
      <c r="J119" s="2">
        <v>0.02</v>
      </c>
      <c r="K119" s="1">
        <v>57040</v>
      </c>
      <c r="L119" s="1">
        <v>1140.8</v>
      </c>
      <c r="M119" s="1">
        <v>55899.199999999997</v>
      </c>
      <c r="N119" s="1">
        <v>28520</v>
      </c>
      <c r="O119" s="1">
        <v>27379.199999999997</v>
      </c>
      <c r="P119">
        <v>1</v>
      </c>
      <c r="Q119">
        <v>12</v>
      </c>
      <c r="R119">
        <v>2014</v>
      </c>
      <c r="S119" s="3">
        <v>41974</v>
      </c>
      <c r="T119" t="str">
        <f t="shared" si="1"/>
        <v>Very Low Discount</v>
      </c>
    </row>
    <row r="120" spans="1:20" x14ac:dyDescent="0.25">
      <c r="A120" t="s">
        <v>138</v>
      </c>
      <c r="B120" t="s">
        <v>20</v>
      </c>
      <c r="C120" t="s">
        <v>21</v>
      </c>
      <c r="D120" t="s">
        <v>46</v>
      </c>
      <c r="E120" t="s">
        <v>47</v>
      </c>
      <c r="F120" t="s">
        <v>57</v>
      </c>
      <c r="G120" s="1">
        <v>10</v>
      </c>
      <c r="H120" s="1">
        <v>20</v>
      </c>
      <c r="I120">
        <v>2729</v>
      </c>
      <c r="J120" s="2">
        <v>0.02</v>
      </c>
      <c r="K120" s="1">
        <v>54580</v>
      </c>
      <c r="L120" s="1">
        <v>1091.5999999999999</v>
      </c>
      <c r="M120" s="1">
        <v>53488.4</v>
      </c>
      <c r="N120" s="1">
        <v>27290</v>
      </c>
      <c r="O120" s="1">
        <v>26198.400000000001</v>
      </c>
      <c r="P120">
        <v>1</v>
      </c>
      <c r="Q120">
        <v>12</v>
      </c>
      <c r="R120">
        <v>2014</v>
      </c>
      <c r="S120" s="3">
        <v>41974</v>
      </c>
      <c r="T120" t="str">
        <f t="shared" si="1"/>
        <v>Very Low Discount</v>
      </c>
    </row>
    <row r="121" spans="1:20" x14ac:dyDescent="0.25">
      <c r="A121" t="s">
        <v>139</v>
      </c>
      <c r="B121" t="s">
        <v>54</v>
      </c>
      <c r="C121" t="s">
        <v>55</v>
      </c>
      <c r="D121" t="s">
        <v>31</v>
      </c>
      <c r="E121" t="s">
        <v>32</v>
      </c>
      <c r="F121" t="s">
        <v>57</v>
      </c>
      <c r="G121" s="1">
        <v>10</v>
      </c>
      <c r="H121" s="1">
        <v>20</v>
      </c>
      <c r="I121">
        <v>1925</v>
      </c>
      <c r="J121" s="2">
        <v>0.02</v>
      </c>
      <c r="K121" s="1">
        <v>38500</v>
      </c>
      <c r="L121" s="1">
        <v>770</v>
      </c>
      <c r="M121" s="1">
        <v>37730</v>
      </c>
      <c r="N121" s="1">
        <v>19250</v>
      </c>
      <c r="O121" s="1">
        <v>18480</v>
      </c>
      <c r="P121">
        <v>1</v>
      </c>
      <c r="Q121">
        <v>12</v>
      </c>
      <c r="R121">
        <v>2013</v>
      </c>
      <c r="S121" s="3">
        <v>41609</v>
      </c>
      <c r="T121" t="str">
        <f t="shared" si="1"/>
        <v>Very Low Discount</v>
      </c>
    </row>
    <row r="122" spans="1:20" x14ac:dyDescent="0.25">
      <c r="A122" t="s">
        <v>140</v>
      </c>
      <c r="B122" t="s">
        <v>54</v>
      </c>
      <c r="C122" t="s">
        <v>55</v>
      </c>
      <c r="D122" t="s">
        <v>22</v>
      </c>
      <c r="E122" t="s">
        <v>23</v>
      </c>
      <c r="F122" t="s">
        <v>57</v>
      </c>
      <c r="G122" s="1">
        <v>10</v>
      </c>
      <c r="H122" s="1">
        <v>20</v>
      </c>
      <c r="I122">
        <v>2013</v>
      </c>
      <c r="J122" s="2">
        <v>0.02</v>
      </c>
      <c r="K122" s="1">
        <v>40260</v>
      </c>
      <c r="L122" s="1">
        <v>805.2</v>
      </c>
      <c r="M122" s="1">
        <v>39454.800000000003</v>
      </c>
      <c r="N122" s="1">
        <v>20130</v>
      </c>
      <c r="O122" s="1">
        <v>19324.800000000003</v>
      </c>
      <c r="P122">
        <v>1</v>
      </c>
      <c r="Q122">
        <v>12</v>
      </c>
      <c r="R122">
        <v>2013</v>
      </c>
      <c r="S122" s="3">
        <v>41609</v>
      </c>
      <c r="T122" t="str">
        <f t="shared" si="1"/>
        <v>Very Low Discount</v>
      </c>
    </row>
    <row r="123" spans="1:20" x14ac:dyDescent="0.25">
      <c r="A123" t="s">
        <v>141</v>
      </c>
      <c r="B123" t="s">
        <v>29</v>
      </c>
      <c r="C123" t="s">
        <v>30</v>
      </c>
      <c r="D123" t="s">
        <v>41</v>
      </c>
      <c r="E123" t="s">
        <v>42</v>
      </c>
      <c r="F123" t="s">
        <v>57</v>
      </c>
      <c r="G123" s="1">
        <v>10</v>
      </c>
      <c r="H123" s="1">
        <v>20</v>
      </c>
      <c r="I123">
        <v>1055</v>
      </c>
      <c r="J123" s="2">
        <v>0.02</v>
      </c>
      <c r="K123" s="1">
        <v>21100</v>
      </c>
      <c r="L123" s="1">
        <v>422</v>
      </c>
      <c r="M123" s="1">
        <v>20678</v>
      </c>
      <c r="N123" s="1">
        <v>10550</v>
      </c>
      <c r="O123" s="1">
        <v>10128</v>
      </c>
      <c r="P123">
        <v>1</v>
      </c>
      <c r="Q123">
        <v>12</v>
      </c>
      <c r="R123">
        <v>2014</v>
      </c>
      <c r="S123" s="3">
        <v>41974</v>
      </c>
      <c r="T123" t="str">
        <f t="shared" si="1"/>
        <v>Very Low Discount</v>
      </c>
    </row>
    <row r="124" spans="1:20" x14ac:dyDescent="0.25">
      <c r="A124" t="s">
        <v>142</v>
      </c>
      <c r="B124" t="s">
        <v>35</v>
      </c>
      <c r="C124" t="s">
        <v>36</v>
      </c>
      <c r="D124" t="s">
        <v>41</v>
      </c>
      <c r="E124" t="s">
        <v>42</v>
      </c>
      <c r="F124" t="s">
        <v>57</v>
      </c>
      <c r="G124" s="1">
        <v>10</v>
      </c>
      <c r="H124" s="1">
        <v>20</v>
      </c>
      <c r="I124">
        <v>1084</v>
      </c>
      <c r="J124" s="2">
        <v>0.02</v>
      </c>
      <c r="K124" s="1">
        <v>21680</v>
      </c>
      <c r="L124" s="1">
        <v>433.6</v>
      </c>
      <c r="M124" s="1">
        <v>21246.400000000001</v>
      </c>
      <c r="N124" s="1">
        <v>10840</v>
      </c>
      <c r="O124" s="1">
        <v>10406.400000000001</v>
      </c>
      <c r="P124">
        <v>1</v>
      </c>
      <c r="Q124">
        <v>12</v>
      </c>
      <c r="R124">
        <v>2014</v>
      </c>
      <c r="S124" s="3">
        <v>41974</v>
      </c>
      <c r="T124" t="str">
        <f t="shared" si="1"/>
        <v>Very Low Discount</v>
      </c>
    </row>
    <row r="125" spans="1:20" x14ac:dyDescent="0.25">
      <c r="A125" t="s">
        <v>65</v>
      </c>
      <c r="B125" t="s">
        <v>54</v>
      </c>
      <c r="C125" t="s">
        <v>55</v>
      </c>
      <c r="D125" t="s">
        <v>22</v>
      </c>
      <c r="E125" t="s">
        <v>23</v>
      </c>
      <c r="F125" t="s">
        <v>71</v>
      </c>
      <c r="G125" s="1">
        <v>120</v>
      </c>
      <c r="H125" s="1">
        <v>180</v>
      </c>
      <c r="I125">
        <v>1566</v>
      </c>
      <c r="J125" s="2">
        <v>0.02</v>
      </c>
      <c r="K125" s="1">
        <v>281880</v>
      </c>
      <c r="L125" s="1">
        <v>5637.6</v>
      </c>
      <c r="M125" s="1">
        <v>276242.40000000002</v>
      </c>
      <c r="N125" s="1">
        <v>187920</v>
      </c>
      <c r="O125" s="1">
        <v>88322.400000000023</v>
      </c>
      <c r="P125">
        <v>1</v>
      </c>
      <c r="Q125">
        <v>10</v>
      </c>
      <c r="R125">
        <v>2014</v>
      </c>
      <c r="S125" s="3">
        <v>41913</v>
      </c>
      <c r="T125" t="str">
        <f t="shared" si="1"/>
        <v>Very Low Discount</v>
      </c>
    </row>
    <row r="126" spans="1:20" x14ac:dyDescent="0.25">
      <c r="A126" t="s">
        <v>143</v>
      </c>
      <c r="B126" t="s">
        <v>26</v>
      </c>
      <c r="C126" t="s">
        <v>27</v>
      </c>
      <c r="D126" t="s">
        <v>22</v>
      </c>
      <c r="E126" t="s">
        <v>23</v>
      </c>
      <c r="F126" t="s">
        <v>71</v>
      </c>
      <c r="G126" s="1">
        <v>120</v>
      </c>
      <c r="H126" s="1">
        <v>180</v>
      </c>
      <c r="I126">
        <v>2966</v>
      </c>
      <c r="J126" s="2">
        <v>0.02</v>
      </c>
      <c r="K126" s="1">
        <v>533880</v>
      </c>
      <c r="L126" s="1">
        <v>10677.6</v>
      </c>
      <c r="M126" s="1">
        <v>523202.4</v>
      </c>
      <c r="N126" s="1">
        <v>355920</v>
      </c>
      <c r="O126" s="1">
        <v>167282.40000000002</v>
      </c>
      <c r="P126">
        <v>1</v>
      </c>
      <c r="Q126">
        <v>10</v>
      </c>
      <c r="R126">
        <v>2013</v>
      </c>
      <c r="S126" s="3">
        <v>41548</v>
      </c>
      <c r="T126" t="str">
        <f t="shared" si="1"/>
        <v>Very Low Discount</v>
      </c>
    </row>
    <row r="127" spans="1:20" x14ac:dyDescent="0.25">
      <c r="A127" t="s">
        <v>144</v>
      </c>
      <c r="B127" t="s">
        <v>26</v>
      </c>
      <c r="C127" t="s">
        <v>27</v>
      </c>
      <c r="D127" t="s">
        <v>22</v>
      </c>
      <c r="E127" t="s">
        <v>23</v>
      </c>
      <c r="F127" t="s">
        <v>71</v>
      </c>
      <c r="G127" s="1">
        <v>120</v>
      </c>
      <c r="H127" s="1">
        <v>180</v>
      </c>
      <c r="I127">
        <v>2877</v>
      </c>
      <c r="J127" s="2">
        <v>0.02</v>
      </c>
      <c r="K127" s="1">
        <v>517860</v>
      </c>
      <c r="L127" s="1">
        <v>10357.200000000001</v>
      </c>
      <c r="M127" s="1">
        <v>507502.8</v>
      </c>
      <c r="N127" s="1">
        <v>345240</v>
      </c>
      <c r="O127" s="1">
        <v>162262.79999999999</v>
      </c>
      <c r="P127">
        <v>1</v>
      </c>
      <c r="Q127">
        <v>10</v>
      </c>
      <c r="R127">
        <v>2014</v>
      </c>
      <c r="S127" s="3">
        <v>41913</v>
      </c>
      <c r="T127" t="str">
        <f t="shared" si="1"/>
        <v>Very Low Discount</v>
      </c>
    </row>
    <row r="128" spans="1:20" x14ac:dyDescent="0.25">
      <c r="A128" t="s">
        <v>134</v>
      </c>
      <c r="B128" t="s">
        <v>26</v>
      </c>
      <c r="C128" t="s">
        <v>27</v>
      </c>
      <c r="D128" t="s">
        <v>46</v>
      </c>
      <c r="E128" t="s">
        <v>47</v>
      </c>
      <c r="F128" t="s">
        <v>71</v>
      </c>
      <c r="G128" s="1">
        <v>120</v>
      </c>
      <c r="H128" s="1">
        <v>180</v>
      </c>
      <c r="I128">
        <v>809</v>
      </c>
      <c r="J128" s="2">
        <v>0.02</v>
      </c>
      <c r="K128" s="1">
        <v>145620</v>
      </c>
      <c r="L128" s="1">
        <v>2912.4</v>
      </c>
      <c r="M128" s="1">
        <v>142707.6</v>
      </c>
      <c r="N128" s="1">
        <v>97080</v>
      </c>
      <c r="O128" s="1">
        <v>45627.600000000006</v>
      </c>
      <c r="P128">
        <v>1</v>
      </c>
      <c r="Q128">
        <v>10</v>
      </c>
      <c r="R128">
        <v>2013</v>
      </c>
      <c r="S128" s="3">
        <v>41548</v>
      </c>
      <c r="T128" t="str">
        <f t="shared" si="1"/>
        <v>Very Low Discount</v>
      </c>
    </row>
    <row r="129" spans="1:20" x14ac:dyDescent="0.25">
      <c r="A129" t="s">
        <v>135</v>
      </c>
      <c r="B129" t="s">
        <v>35</v>
      </c>
      <c r="C129" t="s">
        <v>36</v>
      </c>
      <c r="D129" t="s">
        <v>46</v>
      </c>
      <c r="E129" t="s">
        <v>47</v>
      </c>
      <c r="F129" t="s">
        <v>71</v>
      </c>
      <c r="G129" s="1">
        <v>120</v>
      </c>
      <c r="H129" s="1">
        <v>180</v>
      </c>
      <c r="I129">
        <v>2145</v>
      </c>
      <c r="J129" s="2">
        <v>0.02</v>
      </c>
      <c r="K129" s="1">
        <v>386100</v>
      </c>
      <c r="L129" s="1">
        <v>7722</v>
      </c>
      <c r="M129" s="1">
        <v>378378</v>
      </c>
      <c r="N129" s="1">
        <v>257400</v>
      </c>
      <c r="O129" s="1">
        <v>120978</v>
      </c>
      <c r="P129">
        <v>1</v>
      </c>
      <c r="Q129">
        <v>10</v>
      </c>
      <c r="R129">
        <v>2013</v>
      </c>
      <c r="S129" s="3">
        <v>41548</v>
      </c>
      <c r="T129" t="str">
        <f t="shared" si="1"/>
        <v>Very Low Discount</v>
      </c>
    </row>
    <row r="130" spans="1:20" x14ac:dyDescent="0.25">
      <c r="A130" t="s">
        <v>141</v>
      </c>
      <c r="B130" t="s">
        <v>29</v>
      </c>
      <c r="C130" t="s">
        <v>30</v>
      </c>
      <c r="D130" t="s">
        <v>41</v>
      </c>
      <c r="E130" t="s">
        <v>42</v>
      </c>
      <c r="F130" t="s">
        <v>71</v>
      </c>
      <c r="G130" s="1">
        <v>120</v>
      </c>
      <c r="H130" s="1">
        <v>180</v>
      </c>
      <c r="I130">
        <v>1055</v>
      </c>
      <c r="J130" s="2">
        <v>0.02</v>
      </c>
      <c r="K130" s="1">
        <v>189900</v>
      </c>
      <c r="L130" s="1">
        <v>3798</v>
      </c>
      <c r="M130" s="1">
        <v>186102</v>
      </c>
      <c r="N130" s="1">
        <v>126600</v>
      </c>
      <c r="O130" s="1">
        <v>59502</v>
      </c>
      <c r="P130">
        <v>1</v>
      </c>
      <c r="Q130">
        <v>12</v>
      </c>
      <c r="R130">
        <v>2014</v>
      </c>
      <c r="S130" s="3">
        <v>41974</v>
      </c>
      <c r="T130" t="str">
        <f t="shared" ref="T130:T193" si="2">_xlfn.IFS(J130=0%,"No Discount",J130&lt;=3%,"Very Low Discount",J130&lt;=6%,"Low Discount",J130&lt;=9%,"Mid Discount",J130&lt;=12%,"High Discount",J130&lt;=15%,"Very High Discount")</f>
        <v>Very Low Discount</v>
      </c>
    </row>
    <row r="131" spans="1:20" x14ac:dyDescent="0.25">
      <c r="A131" t="s">
        <v>145</v>
      </c>
      <c r="B131" t="s">
        <v>35</v>
      </c>
      <c r="C131" t="s">
        <v>36</v>
      </c>
      <c r="D131" t="s">
        <v>22</v>
      </c>
      <c r="E131" t="s">
        <v>23</v>
      </c>
      <c r="F131" t="s">
        <v>71</v>
      </c>
      <c r="G131" s="1">
        <v>120</v>
      </c>
      <c r="H131" s="1">
        <v>180</v>
      </c>
      <c r="I131">
        <v>544</v>
      </c>
      <c r="J131" s="2">
        <v>0.02</v>
      </c>
      <c r="K131" s="1">
        <v>97920</v>
      </c>
      <c r="L131" s="1">
        <v>1958.4</v>
      </c>
      <c r="M131" s="1">
        <v>95961.600000000006</v>
      </c>
      <c r="N131" s="1">
        <v>65280</v>
      </c>
      <c r="O131" s="1">
        <v>30681.600000000006</v>
      </c>
      <c r="P131">
        <v>1</v>
      </c>
      <c r="Q131">
        <v>12</v>
      </c>
      <c r="R131">
        <v>2013</v>
      </c>
      <c r="S131" s="3">
        <v>41609</v>
      </c>
      <c r="T131" t="str">
        <f t="shared" si="2"/>
        <v>Very Low Discount</v>
      </c>
    </row>
    <row r="132" spans="1:20" x14ac:dyDescent="0.25">
      <c r="A132" t="s">
        <v>142</v>
      </c>
      <c r="B132" t="s">
        <v>35</v>
      </c>
      <c r="C132" t="s">
        <v>36</v>
      </c>
      <c r="D132" t="s">
        <v>41</v>
      </c>
      <c r="E132" t="s">
        <v>42</v>
      </c>
      <c r="F132" t="s">
        <v>71</v>
      </c>
      <c r="G132" s="1">
        <v>120</v>
      </c>
      <c r="H132" s="1">
        <v>180</v>
      </c>
      <c r="I132">
        <v>1084</v>
      </c>
      <c r="J132" s="2">
        <v>0.02</v>
      </c>
      <c r="K132" s="1">
        <v>195120</v>
      </c>
      <c r="L132" s="1">
        <v>3902.4</v>
      </c>
      <c r="M132" s="1">
        <v>191217.6</v>
      </c>
      <c r="N132" s="1">
        <v>130080</v>
      </c>
      <c r="O132" s="1">
        <v>61137.600000000006</v>
      </c>
      <c r="P132">
        <v>1</v>
      </c>
      <c r="Q132">
        <v>12</v>
      </c>
      <c r="R132">
        <v>2014</v>
      </c>
      <c r="S132" s="3">
        <v>41974</v>
      </c>
      <c r="T132" t="str">
        <f t="shared" si="2"/>
        <v>Very Low Discount</v>
      </c>
    </row>
    <row r="133" spans="1:20" x14ac:dyDescent="0.25">
      <c r="A133" t="s">
        <v>133</v>
      </c>
      <c r="B133" t="s">
        <v>35</v>
      </c>
      <c r="C133" t="s">
        <v>36</v>
      </c>
      <c r="D133" t="s">
        <v>46</v>
      </c>
      <c r="E133" t="s">
        <v>47</v>
      </c>
      <c r="F133" t="s">
        <v>76</v>
      </c>
      <c r="G133" s="1">
        <v>250</v>
      </c>
      <c r="H133" s="1">
        <v>300</v>
      </c>
      <c r="I133">
        <v>662</v>
      </c>
      <c r="J133" s="2">
        <v>0.02</v>
      </c>
      <c r="K133" s="1">
        <v>198600</v>
      </c>
      <c r="L133" s="1">
        <v>3972</v>
      </c>
      <c r="M133" s="1">
        <v>194628</v>
      </c>
      <c r="N133" s="1">
        <v>165500</v>
      </c>
      <c r="O133" s="1">
        <v>29128</v>
      </c>
      <c r="P133">
        <v>1</v>
      </c>
      <c r="Q133">
        <v>6</v>
      </c>
      <c r="R133">
        <v>2014</v>
      </c>
      <c r="S133" s="3">
        <v>41791</v>
      </c>
      <c r="T133" t="str">
        <f t="shared" si="2"/>
        <v>Very Low Discount</v>
      </c>
    </row>
    <row r="134" spans="1:20" x14ac:dyDescent="0.25">
      <c r="A134" t="s">
        <v>125</v>
      </c>
      <c r="B134" t="s">
        <v>26</v>
      </c>
      <c r="C134" t="s">
        <v>27</v>
      </c>
      <c r="D134" t="s">
        <v>49</v>
      </c>
      <c r="E134" t="s">
        <v>50</v>
      </c>
      <c r="F134" t="s">
        <v>76</v>
      </c>
      <c r="G134" s="1">
        <v>250</v>
      </c>
      <c r="H134" s="1">
        <v>300</v>
      </c>
      <c r="I134">
        <v>214</v>
      </c>
      <c r="J134" s="2">
        <v>0.02</v>
      </c>
      <c r="K134" s="1">
        <v>64200</v>
      </c>
      <c r="L134" s="1">
        <v>1284</v>
      </c>
      <c r="M134" s="1">
        <v>62916</v>
      </c>
      <c r="N134" s="1">
        <v>53500</v>
      </c>
      <c r="O134" s="1">
        <v>9416</v>
      </c>
      <c r="P134">
        <v>1</v>
      </c>
      <c r="Q134">
        <v>10</v>
      </c>
      <c r="R134">
        <v>2013</v>
      </c>
      <c r="S134" s="3">
        <v>41548</v>
      </c>
      <c r="T134" t="str">
        <f t="shared" si="2"/>
        <v>Very Low Discount</v>
      </c>
    </row>
    <row r="135" spans="1:20" x14ac:dyDescent="0.25">
      <c r="A135" t="s">
        <v>144</v>
      </c>
      <c r="B135" t="s">
        <v>26</v>
      </c>
      <c r="C135" t="s">
        <v>27</v>
      </c>
      <c r="D135" t="s">
        <v>22</v>
      </c>
      <c r="E135" t="s">
        <v>23</v>
      </c>
      <c r="F135" t="s">
        <v>76</v>
      </c>
      <c r="G135" s="1">
        <v>250</v>
      </c>
      <c r="H135" s="1">
        <v>300</v>
      </c>
      <c r="I135">
        <v>2877</v>
      </c>
      <c r="J135" s="2">
        <v>0.02</v>
      </c>
      <c r="K135" s="1">
        <v>863100</v>
      </c>
      <c r="L135" s="1">
        <v>17262</v>
      </c>
      <c r="M135" s="1">
        <v>845838</v>
      </c>
      <c r="N135" s="1">
        <v>719250</v>
      </c>
      <c r="O135" s="1">
        <v>126588</v>
      </c>
      <c r="P135">
        <v>1</v>
      </c>
      <c r="Q135">
        <v>10</v>
      </c>
      <c r="R135">
        <v>2014</v>
      </c>
      <c r="S135" s="3">
        <v>41913</v>
      </c>
      <c r="T135" t="str">
        <f t="shared" si="2"/>
        <v>Very Low Discount</v>
      </c>
    </row>
    <row r="136" spans="1:20" x14ac:dyDescent="0.25">
      <c r="A136" t="s">
        <v>138</v>
      </c>
      <c r="B136" t="s">
        <v>20</v>
      </c>
      <c r="C136" t="s">
        <v>21</v>
      </c>
      <c r="D136" t="s">
        <v>46</v>
      </c>
      <c r="E136" t="s">
        <v>47</v>
      </c>
      <c r="F136" t="s">
        <v>76</v>
      </c>
      <c r="G136" s="1">
        <v>250</v>
      </c>
      <c r="H136" s="1">
        <v>300</v>
      </c>
      <c r="I136">
        <v>2729</v>
      </c>
      <c r="J136" s="2">
        <v>0.02</v>
      </c>
      <c r="K136" s="1">
        <v>818700</v>
      </c>
      <c r="L136" s="1">
        <v>16374</v>
      </c>
      <c r="M136" s="1">
        <v>802326</v>
      </c>
      <c r="N136" s="1">
        <v>682250</v>
      </c>
      <c r="O136" s="1">
        <v>120076</v>
      </c>
      <c r="P136">
        <v>1</v>
      </c>
      <c r="Q136">
        <v>12</v>
      </c>
      <c r="R136">
        <v>2014</v>
      </c>
      <c r="S136" s="3">
        <v>41974</v>
      </c>
      <c r="T136" t="str">
        <f t="shared" si="2"/>
        <v>Very Low Discount</v>
      </c>
    </row>
    <row r="137" spans="1:20" x14ac:dyDescent="0.25">
      <c r="A137" t="s">
        <v>140</v>
      </c>
      <c r="B137" t="s">
        <v>54</v>
      </c>
      <c r="C137" t="s">
        <v>55</v>
      </c>
      <c r="D137" t="s">
        <v>22</v>
      </c>
      <c r="E137" t="s">
        <v>23</v>
      </c>
      <c r="F137" t="s">
        <v>76</v>
      </c>
      <c r="G137" s="1">
        <v>250</v>
      </c>
      <c r="H137" s="1">
        <v>300</v>
      </c>
      <c r="I137">
        <v>266</v>
      </c>
      <c r="J137" s="2">
        <v>0.02</v>
      </c>
      <c r="K137" s="1">
        <v>79800</v>
      </c>
      <c r="L137" s="1">
        <v>1596</v>
      </c>
      <c r="M137" s="1">
        <v>78204</v>
      </c>
      <c r="N137" s="1">
        <v>66500</v>
      </c>
      <c r="O137" s="1">
        <v>11704</v>
      </c>
      <c r="P137">
        <v>1</v>
      </c>
      <c r="Q137">
        <v>12</v>
      </c>
      <c r="R137">
        <v>2013</v>
      </c>
      <c r="S137" s="3">
        <v>41609</v>
      </c>
      <c r="T137" t="str">
        <f t="shared" si="2"/>
        <v>Very Low Discount</v>
      </c>
    </row>
    <row r="138" spans="1:20" x14ac:dyDescent="0.25">
      <c r="A138" t="s">
        <v>145</v>
      </c>
      <c r="B138" t="s">
        <v>35</v>
      </c>
      <c r="C138" t="s">
        <v>36</v>
      </c>
      <c r="D138" t="s">
        <v>22</v>
      </c>
      <c r="E138" t="s">
        <v>23</v>
      </c>
      <c r="F138" t="s">
        <v>76</v>
      </c>
      <c r="G138" s="1">
        <v>250</v>
      </c>
      <c r="H138" s="1">
        <v>300</v>
      </c>
      <c r="I138">
        <v>1940</v>
      </c>
      <c r="J138" s="2">
        <v>0.02</v>
      </c>
      <c r="K138" s="1">
        <v>582000</v>
      </c>
      <c r="L138" s="1">
        <v>11640</v>
      </c>
      <c r="M138" s="1">
        <v>570360</v>
      </c>
      <c r="N138" s="1">
        <v>485000</v>
      </c>
      <c r="O138" s="1">
        <v>85360</v>
      </c>
      <c r="P138">
        <v>1</v>
      </c>
      <c r="Q138">
        <v>12</v>
      </c>
      <c r="R138">
        <v>2013</v>
      </c>
      <c r="S138" s="3">
        <v>41609</v>
      </c>
      <c r="T138" t="str">
        <f t="shared" si="2"/>
        <v>Very Low Discount</v>
      </c>
    </row>
    <row r="139" spans="1:20" x14ac:dyDescent="0.25">
      <c r="A139" t="s">
        <v>146</v>
      </c>
      <c r="B139" t="s">
        <v>26</v>
      </c>
      <c r="C139" t="s">
        <v>27</v>
      </c>
      <c r="D139" t="s">
        <v>49</v>
      </c>
      <c r="E139" t="s">
        <v>50</v>
      </c>
      <c r="F139" t="s">
        <v>81</v>
      </c>
      <c r="G139" s="1">
        <v>200</v>
      </c>
      <c r="H139" s="1">
        <v>350</v>
      </c>
      <c r="I139">
        <v>259</v>
      </c>
      <c r="J139" s="2">
        <v>0.02</v>
      </c>
      <c r="K139" s="1">
        <v>90650</v>
      </c>
      <c r="L139" s="1">
        <v>1813</v>
      </c>
      <c r="M139" s="1">
        <v>88837</v>
      </c>
      <c r="N139" s="1">
        <v>51800</v>
      </c>
      <c r="O139" s="1">
        <v>37037</v>
      </c>
      <c r="P139">
        <v>1</v>
      </c>
      <c r="Q139">
        <v>3</v>
      </c>
      <c r="R139">
        <v>2014</v>
      </c>
      <c r="S139" s="3">
        <v>41699</v>
      </c>
      <c r="T139" t="str">
        <f t="shared" si="2"/>
        <v>Very Low Discount</v>
      </c>
    </row>
    <row r="140" spans="1:20" x14ac:dyDescent="0.25">
      <c r="A140" t="s">
        <v>147</v>
      </c>
      <c r="B140" t="s">
        <v>35</v>
      </c>
      <c r="C140" t="s">
        <v>36</v>
      </c>
      <c r="D140" t="s">
        <v>49</v>
      </c>
      <c r="E140" t="s">
        <v>50</v>
      </c>
      <c r="F140" t="s">
        <v>81</v>
      </c>
      <c r="G140" s="1">
        <v>200</v>
      </c>
      <c r="H140" s="1">
        <v>350</v>
      </c>
      <c r="I140">
        <v>1101</v>
      </c>
      <c r="J140" s="2">
        <v>0.02</v>
      </c>
      <c r="K140" s="1">
        <v>385350</v>
      </c>
      <c r="L140" s="1">
        <v>7707</v>
      </c>
      <c r="M140" s="1">
        <v>377643</v>
      </c>
      <c r="N140" s="1">
        <v>220200</v>
      </c>
      <c r="O140" s="1">
        <v>157443</v>
      </c>
      <c r="P140">
        <v>1</v>
      </c>
      <c r="Q140">
        <v>3</v>
      </c>
      <c r="R140">
        <v>2014</v>
      </c>
      <c r="S140" s="3">
        <v>41699</v>
      </c>
      <c r="T140" t="str">
        <f t="shared" si="2"/>
        <v>Very Low Discount</v>
      </c>
    </row>
    <row r="141" spans="1:20" x14ac:dyDescent="0.25">
      <c r="A141" t="s">
        <v>148</v>
      </c>
      <c r="B141" t="s">
        <v>26</v>
      </c>
      <c r="C141" t="s">
        <v>27</v>
      </c>
      <c r="D141" t="s">
        <v>46</v>
      </c>
      <c r="E141" t="s">
        <v>47</v>
      </c>
      <c r="F141" t="s">
        <v>81</v>
      </c>
      <c r="G141" s="1">
        <v>200</v>
      </c>
      <c r="H141" s="1">
        <v>350</v>
      </c>
      <c r="I141">
        <v>2276</v>
      </c>
      <c r="J141" s="2">
        <v>0.02</v>
      </c>
      <c r="K141" s="1">
        <v>796600</v>
      </c>
      <c r="L141" s="1">
        <v>15932</v>
      </c>
      <c r="M141" s="1">
        <v>780668</v>
      </c>
      <c r="N141" s="1">
        <v>455200</v>
      </c>
      <c r="O141" s="1">
        <v>325468</v>
      </c>
      <c r="P141">
        <v>1</v>
      </c>
      <c r="Q141">
        <v>5</v>
      </c>
      <c r="R141">
        <v>2014</v>
      </c>
      <c r="S141" s="3">
        <v>41760</v>
      </c>
      <c r="T141" t="str">
        <f t="shared" si="2"/>
        <v>Very Low Discount</v>
      </c>
    </row>
    <row r="142" spans="1:20" x14ac:dyDescent="0.25">
      <c r="A142" t="s">
        <v>143</v>
      </c>
      <c r="B142" t="s">
        <v>26</v>
      </c>
      <c r="C142" t="s">
        <v>27</v>
      </c>
      <c r="D142" t="s">
        <v>22</v>
      </c>
      <c r="E142" t="s">
        <v>23</v>
      </c>
      <c r="F142" t="s">
        <v>81</v>
      </c>
      <c r="G142" s="1">
        <v>200</v>
      </c>
      <c r="H142" s="1">
        <v>350</v>
      </c>
      <c r="I142">
        <v>2966</v>
      </c>
      <c r="J142" s="2">
        <v>0.02</v>
      </c>
      <c r="K142" s="1">
        <v>1038100</v>
      </c>
      <c r="L142" s="1">
        <v>20762</v>
      </c>
      <c r="M142" s="1">
        <v>1017338</v>
      </c>
      <c r="N142" s="1">
        <v>593200</v>
      </c>
      <c r="O142" s="1">
        <v>424138</v>
      </c>
      <c r="P142">
        <v>1</v>
      </c>
      <c r="Q142">
        <v>10</v>
      </c>
      <c r="R142">
        <v>2013</v>
      </c>
      <c r="S142" s="3">
        <v>41548</v>
      </c>
      <c r="T142" t="str">
        <f t="shared" si="2"/>
        <v>Very Low Discount</v>
      </c>
    </row>
    <row r="143" spans="1:20" x14ac:dyDescent="0.25">
      <c r="A143" t="s">
        <v>149</v>
      </c>
      <c r="B143" t="s">
        <v>54</v>
      </c>
      <c r="C143" t="s">
        <v>55</v>
      </c>
      <c r="D143" t="s">
        <v>22</v>
      </c>
      <c r="E143" t="s">
        <v>23</v>
      </c>
      <c r="F143" t="s">
        <v>81</v>
      </c>
      <c r="G143" s="1">
        <v>200</v>
      </c>
      <c r="H143" s="1">
        <v>350</v>
      </c>
      <c r="I143">
        <v>1236</v>
      </c>
      <c r="J143" s="2">
        <v>0.02</v>
      </c>
      <c r="K143" s="1">
        <v>432600</v>
      </c>
      <c r="L143" s="1">
        <v>8652</v>
      </c>
      <c r="M143" s="1">
        <v>423948</v>
      </c>
      <c r="N143" s="1">
        <v>247200</v>
      </c>
      <c r="O143" s="1">
        <v>176748</v>
      </c>
      <c r="P143">
        <v>1</v>
      </c>
      <c r="Q143">
        <v>11</v>
      </c>
      <c r="R143">
        <v>2014</v>
      </c>
      <c r="S143" s="3">
        <v>41944</v>
      </c>
      <c r="T143" t="str">
        <f t="shared" si="2"/>
        <v>Very Low Discount</v>
      </c>
    </row>
    <row r="144" spans="1:20" x14ac:dyDescent="0.25">
      <c r="A144" t="s">
        <v>89</v>
      </c>
      <c r="B144" t="s">
        <v>29</v>
      </c>
      <c r="C144" t="s">
        <v>30</v>
      </c>
      <c r="D144" t="s">
        <v>22</v>
      </c>
      <c r="E144" t="s">
        <v>23</v>
      </c>
      <c r="F144" t="s">
        <v>81</v>
      </c>
      <c r="G144" s="1">
        <v>200</v>
      </c>
      <c r="H144" s="1">
        <v>350</v>
      </c>
      <c r="I144">
        <v>941</v>
      </c>
      <c r="J144" s="2">
        <v>0.02</v>
      </c>
      <c r="K144" s="1">
        <v>329350</v>
      </c>
      <c r="L144" s="1">
        <v>6587</v>
      </c>
      <c r="M144" s="1">
        <v>322763</v>
      </c>
      <c r="N144" s="1">
        <v>188200</v>
      </c>
      <c r="O144" s="1">
        <v>134563</v>
      </c>
      <c r="P144">
        <v>1</v>
      </c>
      <c r="Q144">
        <v>11</v>
      </c>
      <c r="R144">
        <v>2014</v>
      </c>
      <c r="S144" s="3">
        <v>41944</v>
      </c>
      <c r="T144" t="str">
        <f t="shared" si="2"/>
        <v>Very Low Discount</v>
      </c>
    </row>
    <row r="145" spans="1:20" x14ac:dyDescent="0.25">
      <c r="A145" t="s">
        <v>137</v>
      </c>
      <c r="B145" t="s">
        <v>20</v>
      </c>
      <c r="C145" t="s">
        <v>21</v>
      </c>
      <c r="D145" t="s">
        <v>49</v>
      </c>
      <c r="E145" t="s">
        <v>50</v>
      </c>
      <c r="F145" t="s">
        <v>81</v>
      </c>
      <c r="G145" s="1">
        <v>200</v>
      </c>
      <c r="H145" s="1">
        <v>350</v>
      </c>
      <c r="I145">
        <v>1916</v>
      </c>
      <c r="J145" s="2">
        <v>0.02</v>
      </c>
      <c r="K145" s="1">
        <v>670600</v>
      </c>
      <c r="L145" s="1">
        <v>13412</v>
      </c>
      <c r="M145" s="1">
        <v>657188</v>
      </c>
      <c r="N145" s="1">
        <v>383200</v>
      </c>
      <c r="O145" s="1">
        <v>273988</v>
      </c>
      <c r="P145">
        <v>1</v>
      </c>
      <c r="Q145">
        <v>12</v>
      </c>
      <c r="R145">
        <v>2014</v>
      </c>
      <c r="S145" s="3">
        <v>41974</v>
      </c>
      <c r="T145" t="str">
        <f t="shared" si="2"/>
        <v>Very Low Discount</v>
      </c>
    </row>
    <row r="146" spans="1:20" x14ac:dyDescent="0.25">
      <c r="A146" t="s">
        <v>150</v>
      </c>
      <c r="B146" t="s">
        <v>29</v>
      </c>
      <c r="C146" t="s">
        <v>30</v>
      </c>
      <c r="D146" t="s">
        <v>46</v>
      </c>
      <c r="E146" t="s">
        <v>47</v>
      </c>
      <c r="F146" t="s">
        <v>24</v>
      </c>
      <c r="G146" s="1">
        <v>3</v>
      </c>
      <c r="H146" s="1">
        <v>20</v>
      </c>
      <c r="I146">
        <v>4243</v>
      </c>
      <c r="J146" s="2">
        <v>3.0003544661795896E-2</v>
      </c>
      <c r="K146" s="1">
        <v>84860</v>
      </c>
      <c r="L146" s="1">
        <v>2546.1007999999997</v>
      </c>
      <c r="M146" s="1">
        <v>82313.8992</v>
      </c>
      <c r="N146" s="1">
        <v>12729</v>
      </c>
      <c r="O146" s="1">
        <v>69584.8992</v>
      </c>
      <c r="P146">
        <v>1</v>
      </c>
      <c r="Q146">
        <v>4</v>
      </c>
      <c r="R146">
        <v>2014</v>
      </c>
      <c r="S146" s="3">
        <v>41730</v>
      </c>
      <c r="T146" t="str">
        <f t="shared" si="2"/>
        <v>Low Discount</v>
      </c>
    </row>
    <row r="147" spans="1:20" x14ac:dyDescent="0.25">
      <c r="A147" t="s">
        <v>151</v>
      </c>
      <c r="B147" t="s">
        <v>26</v>
      </c>
      <c r="C147" t="s">
        <v>27</v>
      </c>
      <c r="D147" t="s">
        <v>22</v>
      </c>
      <c r="E147" t="s">
        <v>23</v>
      </c>
      <c r="F147" t="s">
        <v>24</v>
      </c>
      <c r="G147" s="1">
        <v>3</v>
      </c>
      <c r="H147" s="1">
        <v>20</v>
      </c>
      <c r="I147">
        <v>2580</v>
      </c>
      <c r="J147" s="2">
        <v>0.03</v>
      </c>
      <c r="K147" s="1">
        <v>51600</v>
      </c>
      <c r="L147" s="1">
        <v>1548</v>
      </c>
      <c r="M147" s="1">
        <v>50052</v>
      </c>
      <c r="N147" s="1">
        <v>7740</v>
      </c>
      <c r="O147" s="1">
        <v>42312</v>
      </c>
      <c r="P147">
        <v>1</v>
      </c>
      <c r="Q147">
        <v>4</v>
      </c>
      <c r="R147">
        <v>2014</v>
      </c>
      <c r="S147" s="3">
        <v>41730</v>
      </c>
      <c r="T147" t="str">
        <f t="shared" si="2"/>
        <v>Very Low Discount</v>
      </c>
    </row>
    <row r="148" spans="1:20" x14ac:dyDescent="0.25">
      <c r="A148" t="s">
        <v>152</v>
      </c>
      <c r="B148" t="s">
        <v>26</v>
      </c>
      <c r="C148" t="s">
        <v>27</v>
      </c>
      <c r="D148" t="s">
        <v>49</v>
      </c>
      <c r="E148" t="s">
        <v>50</v>
      </c>
      <c r="F148" t="s">
        <v>24</v>
      </c>
      <c r="G148" s="1">
        <v>3</v>
      </c>
      <c r="H148" s="1">
        <v>20</v>
      </c>
      <c r="I148">
        <v>689</v>
      </c>
      <c r="J148" s="2">
        <v>0.03</v>
      </c>
      <c r="K148" s="1">
        <v>13780</v>
      </c>
      <c r="L148" s="1">
        <v>413.4</v>
      </c>
      <c r="M148" s="1">
        <v>13366.6</v>
      </c>
      <c r="N148" s="1">
        <v>2067</v>
      </c>
      <c r="O148" s="1">
        <v>11299.6</v>
      </c>
      <c r="P148">
        <v>1</v>
      </c>
      <c r="Q148">
        <v>6</v>
      </c>
      <c r="R148">
        <v>2014</v>
      </c>
      <c r="S148" s="3">
        <v>41791</v>
      </c>
      <c r="T148" t="str">
        <f t="shared" si="2"/>
        <v>Very Low Discount</v>
      </c>
    </row>
    <row r="149" spans="1:20" x14ac:dyDescent="0.25">
      <c r="A149" t="s">
        <v>153</v>
      </c>
      <c r="B149" t="s">
        <v>54</v>
      </c>
      <c r="C149" t="s">
        <v>55</v>
      </c>
      <c r="D149" t="s">
        <v>41</v>
      </c>
      <c r="E149" t="s">
        <v>42</v>
      </c>
      <c r="F149" t="s">
        <v>24</v>
      </c>
      <c r="G149" s="1">
        <v>3</v>
      </c>
      <c r="H149" s="1">
        <v>20</v>
      </c>
      <c r="I149">
        <v>1947</v>
      </c>
      <c r="J149" s="2">
        <v>0.03</v>
      </c>
      <c r="K149" s="1">
        <v>38940</v>
      </c>
      <c r="L149" s="1">
        <v>1168.2</v>
      </c>
      <c r="M149" s="1">
        <v>37771.800000000003</v>
      </c>
      <c r="N149" s="1">
        <v>5841</v>
      </c>
      <c r="O149" s="1">
        <v>31930.800000000003</v>
      </c>
      <c r="P149">
        <v>1</v>
      </c>
      <c r="Q149">
        <v>9</v>
      </c>
      <c r="R149">
        <v>2014</v>
      </c>
      <c r="S149" s="3">
        <v>41883</v>
      </c>
      <c r="T149" t="str">
        <f t="shared" si="2"/>
        <v>Very Low Discount</v>
      </c>
    </row>
    <row r="150" spans="1:20" x14ac:dyDescent="0.25">
      <c r="A150" t="s">
        <v>154</v>
      </c>
      <c r="B150" t="s">
        <v>20</v>
      </c>
      <c r="C150" t="s">
        <v>21</v>
      </c>
      <c r="D150" t="s">
        <v>41</v>
      </c>
      <c r="E150" t="s">
        <v>42</v>
      </c>
      <c r="F150" t="s">
        <v>24</v>
      </c>
      <c r="G150" s="1">
        <v>3</v>
      </c>
      <c r="H150" s="1">
        <v>20</v>
      </c>
      <c r="I150">
        <v>908</v>
      </c>
      <c r="J150" s="2">
        <v>0.03</v>
      </c>
      <c r="K150" s="1">
        <v>18160</v>
      </c>
      <c r="L150" s="1">
        <v>544.79999999999995</v>
      </c>
      <c r="M150" s="1">
        <v>17615.2</v>
      </c>
      <c r="N150" s="1">
        <v>2724</v>
      </c>
      <c r="O150" s="1">
        <v>14891.2</v>
      </c>
      <c r="P150">
        <v>1</v>
      </c>
      <c r="Q150">
        <v>12</v>
      </c>
      <c r="R150">
        <v>2013</v>
      </c>
      <c r="S150" s="3">
        <v>41609</v>
      </c>
      <c r="T150" t="str">
        <f t="shared" si="2"/>
        <v>Very Low Discount</v>
      </c>
    </row>
    <row r="151" spans="1:20" x14ac:dyDescent="0.25">
      <c r="A151" t="s">
        <v>155</v>
      </c>
      <c r="B151" t="s">
        <v>26</v>
      </c>
      <c r="C151" t="s">
        <v>27</v>
      </c>
      <c r="D151" t="s">
        <v>22</v>
      </c>
      <c r="E151" t="s">
        <v>23</v>
      </c>
      <c r="F151" t="s">
        <v>39</v>
      </c>
      <c r="G151" s="1">
        <v>5</v>
      </c>
      <c r="H151" s="1">
        <v>15</v>
      </c>
      <c r="I151">
        <v>1958</v>
      </c>
      <c r="J151" s="2">
        <v>0.03</v>
      </c>
      <c r="K151" s="1">
        <v>29370</v>
      </c>
      <c r="L151" s="1">
        <v>881.1</v>
      </c>
      <c r="M151" s="1">
        <v>28488.9</v>
      </c>
      <c r="N151" s="1">
        <v>9790</v>
      </c>
      <c r="O151" s="1">
        <v>18698.900000000001</v>
      </c>
      <c r="P151">
        <v>1</v>
      </c>
      <c r="Q151">
        <v>2</v>
      </c>
      <c r="R151">
        <v>2014</v>
      </c>
      <c r="S151" s="3">
        <v>41671</v>
      </c>
      <c r="T151" t="str">
        <f t="shared" si="2"/>
        <v>Very Low Discount</v>
      </c>
    </row>
    <row r="152" spans="1:20" x14ac:dyDescent="0.25">
      <c r="A152" t="s">
        <v>156</v>
      </c>
      <c r="B152" t="s">
        <v>29</v>
      </c>
      <c r="C152" t="s">
        <v>30</v>
      </c>
      <c r="D152" t="s">
        <v>41</v>
      </c>
      <c r="E152" t="s">
        <v>42</v>
      </c>
      <c r="F152" t="s">
        <v>39</v>
      </c>
      <c r="G152" s="1">
        <v>5</v>
      </c>
      <c r="H152" s="1">
        <v>15</v>
      </c>
      <c r="I152">
        <v>1901</v>
      </c>
      <c r="J152" s="2">
        <v>0.03</v>
      </c>
      <c r="K152" s="1">
        <v>28515</v>
      </c>
      <c r="L152" s="1">
        <v>855.44999999999993</v>
      </c>
      <c r="M152" s="1">
        <v>27659.55</v>
      </c>
      <c r="N152" s="1">
        <v>9505</v>
      </c>
      <c r="O152" s="1">
        <v>18154.55</v>
      </c>
      <c r="P152">
        <v>1</v>
      </c>
      <c r="Q152">
        <v>6</v>
      </c>
      <c r="R152">
        <v>2014</v>
      </c>
      <c r="S152" s="3">
        <v>41791</v>
      </c>
      <c r="T152" t="str">
        <f t="shared" si="2"/>
        <v>Very Low Discount</v>
      </c>
    </row>
    <row r="153" spans="1:20" x14ac:dyDescent="0.25">
      <c r="A153" t="s">
        <v>157</v>
      </c>
      <c r="B153" t="s">
        <v>29</v>
      </c>
      <c r="C153" t="s">
        <v>30</v>
      </c>
      <c r="D153" t="s">
        <v>22</v>
      </c>
      <c r="E153" t="s">
        <v>23</v>
      </c>
      <c r="F153" t="s">
        <v>39</v>
      </c>
      <c r="G153" s="1">
        <v>5</v>
      </c>
      <c r="H153" s="1">
        <v>15</v>
      </c>
      <c r="I153">
        <v>544</v>
      </c>
      <c r="J153" s="2">
        <v>0.03</v>
      </c>
      <c r="K153" s="1">
        <v>8160</v>
      </c>
      <c r="L153" s="1">
        <v>244.79999999999998</v>
      </c>
      <c r="M153" s="1">
        <v>7915.2</v>
      </c>
      <c r="N153" s="1">
        <v>2720</v>
      </c>
      <c r="O153" s="1">
        <v>5195.2</v>
      </c>
      <c r="P153">
        <v>1</v>
      </c>
      <c r="Q153">
        <v>9</v>
      </c>
      <c r="R153">
        <v>2014</v>
      </c>
      <c r="S153" s="3">
        <v>41883</v>
      </c>
      <c r="T153" t="str">
        <f t="shared" si="2"/>
        <v>Very Low Discount</v>
      </c>
    </row>
    <row r="154" spans="1:20" x14ac:dyDescent="0.25">
      <c r="A154" t="s">
        <v>158</v>
      </c>
      <c r="B154" t="s">
        <v>26</v>
      </c>
      <c r="C154" t="s">
        <v>27</v>
      </c>
      <c r="D154" t="s">
        <v>22</v>
      </c>
      <c r="E154" t="s">
        <v>23</v>
      </c>
      <c r="F154" t="s">
        <v>39</v>
      </c>
      <c r="G154" s="1">
        <v>5</v>
      </c>
      <c r="H154" s="1">
        <v>15</v>
      </c>
      <c r="I154">
        <v>1797</v>
      </c>
      <c r="J154" s="2">
        <v>0.03</v>
      </c>
      <c r="K154" s="1">
        <v>26955</v>
      </c>
      <c r="L154" s="1">
        <v>808.65</v>
      </c>
      <c r="M154" s="1">
        <v>26146.35</v>
      </c>
      <c r="N154" s="1">
        <v>8985</v>
      </c>
      <c r="O154" s="1">
        <v>17161.349999999999</v>
      </c>
      <c r="P154">
        <v>1</v>
      </c>
      <c r="Q154">
        <v>9</v>
      </c>
      <c r="R154">
        <v>2013</v>
      </c>
      <c r="S154" s="3">
        <v>41518</v>
      </c>
      <c r="T154" t="str">
        <f t="shared" si="2"/>
        <v>Very Low Discount</v>
      </c>
    </row>
    <row r="155" spans="1:20" x14ac:dyDescent="0.25">
      <c r="A155" t="s">
        <v>159</v>
      </c>
      <c r="B155" t="s">
        <v>29</v>
      </c>
      <c r="C155" t="s">
        <v>30</v>
      </c>
      <c r="D155" t="s">
        <v>46</v>
      </c>
      <c r="E155" t="s">
        <v>47</v>
      </c>
      <c r="F155" t="s">
        <v>39</v>
      </c>
      <c r="G155" s="1">
        <v>5</v>
      </c>
      <c r="H155" s="1">
        <v>15</v>
      </c>
      <c r="I155">
        <v>1287</v>
      </c>
      <c r="J155" s="2">
        <v>0.03</v>
      </c>
      <c r="K155" s="1">
        <v>19305</v>
      </c>
      <c r="L155" s="1">
        <v>579.15</v>
      </c>
      <c r="M155" s="1">
        <v>18725.849999999999</v>
      </c>
      <c r="N155" s="1">
        <v>6435</v>
      </c>
      <c r="O155" s="1">
        <v>12290.849999999999</v>
      </c>
      <c r="P155">
        <v>1</v>
      </c>
      <c r="Q155">
        <v>12</v>
      </c>
      <c r="R155">
        <v>2014</v>
      </c>
      <c r="S155" s="3">
        <v>41974</v>
      </c>
      <c r="T155" t="str">
        <f t="shared" si="2"/>
        <v>Very Low Discount</v>
      </c>
    </row>
    <row r="156" spans="1:20" x14ac:dyDescent="0.25">
      <c r="A156" t="s">
        <v>160</v>
      </c>
      <c r="B156" t="s">
        <v>26</v>
      </c>
      <c r="C156" t="s">
        <v>27</v>
      </c>
      <c r="D156" t="s">
        <v>46</v>
      </c>
      <c r="E156" t="s">
        <v>47</v>
      </c>
      <c r="F156" t="s">
        <v>39</v>
      </c>
      <c r="G156" s="1">
        <v>5</v>
      </c>
      <c r="H156" s="1">
        <v>15</v>
      </c>
      <c r="I156">
        <v>1706</v>
      </c>
      <c r="J156" s="2">
        <v>0.03</v>
      </c>
      <c r="K156" s="1">
        <v>25590</v>
      </c>
      <c r="L156" s="1">
        <v>767.69999999999993</v>
      </c>
      <c r="M156" s="1">
        <v>24822.3</v>
      </c>
      <c r="N156" s="1">
        <v>8530</v>
      </c>
      <c r="O156" s="1">
        <v>16292.3</v>
      </c>
      <c r="P156">
        <v>1</v>
      </c>
      <c r="Q156">
        <v>12</v>
      </c>
      <c r="R156">
        <v>2014</v>
      </c>
      <c r="S156" s="3">
        <v>41974</v>
      </c>
      <c r="T156" t="str">
        <f t="shared" si="2"/>
        <v>Very Low Discount</v>
      </c>
    </row>
    <row r="157" spans="1:20" x14ac:dyDescent="0.25">
      <c r="A157" t="s">
        <v>161</v>
      </c>
      <c r="B157" t="s">
        <v>29</v>
      </c>
      <c r="C157" t="s">
        <v>30</v>
      </c>
      <c r="D157" t="s">
        <v>49</v>
      </c>
      <c r="E157" t="s">
        <v>50</v>
      </c>
      <c r="F157" t="s">
        <v>57</v>
      </c>
      <c r="G157" s="1">
        <v>10</v>
      </c>
      <c r="H157" s="1">
        <v>20</v>
      </c>
      <c r="I157">
        <v>2434</v>
      </c>
      <c r="J157" s="2">
        <v>3.0006162695152012E-2</v>
      </c>
      <c r="K157" s="1">
        <v>48680</v>
      </c>
      <c r="L157" s="1">
        <v>1460.7</v>
      </c>
      <c r="M157" s="1">
        <v>47219.3</v>
      </c>
      <c r="N157" s="1">
        <v>24340</v>
      </c>
      <c r="O157" s="1">
        <v>22879.300000000003</v>
      </c>
      <c r="P157">
        <v>1</v>
      </c>
      <c r="Q157">
        <v>1</v>
      </c>
      <c r="R157">
        <v>2014</v>
      </c>
      <c r="S157" s="3">
        <v>41640</v>
      </c>
      <c r="T157" t="str">
        <f t="shared" si="2"/>
        <v>Low Discount</v>
      </c>
    </row>
    <row r="158" spans="1:20" x14ac:dyDescent="0.25">
      <c r="A158" t="s">
        <v>162</v>
      </c>
      <c r="B158" t="s">
        <v>20</v>
      </c>
      <c r="C158" t="s">
        <v>21</v>
      </c>
      <c r="D158" t="s">
        <v>46</v>
      </c>
      <c r="E158" t="s">
        <v>47</v>
      </c>
      <c r="F158" t="s">
        <v>57</v>
      </c>
      <c r="G158" s="1">
        <v>10</v>
      </c>
      <c r="H158" s="1">
        <v>20</v>
      </c>
      <c r="I158">
        <v>1774</v>
      </c>
      <c r="J158" s="2">
        <v>0.03</v>
      </c>
      <c r="K158" s="1">
        <v>35480</v>
      </c>
      <c r="L158" s="1">
        <v>1064.3999999999999</v>
      </c>
      <c r="M158" s="1">
        <v>34415.599999999999</v>
      </c>
      <c r="N158" s="1">
        <v>17740</v>
      </c>
      <c r="O158" s="1">
        <v>16675.599999999999</v>
      </c>
      <c r="P158">
        <v>1</v>
      </c>
      <c r="Q158">
        <v>3</v>
      </c>
      <c r="R158">
        <v>2014</v>
      </c>
      <c r="S158" s="3">
        <v>41699</v>
      </c>
      <c r="T158" t="str">
        <f t="shared" si="2"/>
        <v>Very Low Discount</v>
      </c>
    </row>
    <row r="159" spans="1:20" x14ac:dyDescent="0.25">
      <c r="A159" t="s">
        <v>156</v>
      </c>
      <c r="B159" t="s">
        <v>29</v>
      </c>
      <c r="C159" t="s">
        <v>30</v>
      </c>
      <c r="D159" t="s">
        <v>41</v>
      </c>
      <c r="E159" t="s">
        <v>42</v>
      </c>
      <c r="F159" t="s">
        <v>57</v>
      </c>
      <c r="G159" s="1">
        <v>10</v>
      </c>
      <c r="H159" s="1">
        <v>20</v>
      </c>
      <c r="I159">
        <v>1901</v>
      </c>
      <c r="J159" s="2">
        <v>0.03</v>
      </c>
      <c r="K159" s="1">
        <v>38020</v>
      </c>
      <c r="L159" s="1">
        <v>1140.5999999999999</v>
      </c>
      <c r="M159" s="1">
        <v>36879.4</v>
      </c>
      <c r="N159" s="1">
        <v>19010</v>
      </c>
      <c r="O159" s="1">
        <v>17869.400000000001</v>
      </c>
      <c r="P159">
        <v>1</v>
      </c>
      <c r="Q159">
        <v>6</v>
      </c>
      <c r="R159">
        <v>2014</v>
      </c>
      <c r="S159" s="3">
        <v>41791</v>
      </c>
      <c r="T159" t="str">
        <f t="shared" si="2"/>
        <v>Very Low Discount</v>
      </c>
    </row>
    <row r="160" spans="1:20" x14ac:dyDescent="0.25">
      <c r="A160" t="s">
        <v>152</v>
      </c>
      <c r="B160" t="s">
        <v>26</v>
      </c>
      <c r="C160" t="s">
        <v>27</v>
      </c>
      <c r="D160" t="s">
        <v>49</v>
      </c>
      <c r="E160" t="s">
        <v>50</v>
      </c>
      <c r="F160" t="s">
        <v>57</v>
      </c>
      <c r="G160" s="1">
        <v>10</v>
      </c>
      <c r="H160" s="1">
        <v>20</v>
      </c>
      <c r="I160">
        <v>689</v>
      </c>
      <c r="J160" s="2">
        <v>0.03</v>
      </c>
      <c r="K160" s="1">
        <v>13780</v>
      </c>
      <c r="L160" s="1">
        <v>413.4</v>
      </c>
      <c r="M160" s="1">
        <v>13366.6</v>
      </c>
      <c r="N160" s="1">
        <v>6890</v>
      </c>
      <c r="O160" s="1">
        <v>6476.6</v>
      </c>
      <c r="P160">
        <v>1</v>
      </c>
      <c r="Q160">
        <v>6</v>
      </c>
      <c r="R160">
        <v>2014</v>
      </c>
      <c r="S160" s="3">
        <v>41791</v>
      </c>
      <c r="T160" t="str">
        <f t="shared" si="2"/>
        <v>Very Low Discount</v>
      </c>
    </row>
    <row r="161" spans="1:20" x14ac:dyDescent="0.25">
      <c r="A161" t="s">
        <v>163</v>
      </c>
      <c r="B161" t="s">
        <v>26</v>
      </c>
      <c r="C161" t="s">
        <v>27</v>
      </c>
      <c r="D161" t="s">
        <v>46</v>
      </c>
      <c r="E161" t="s">
        <v>47</v>
      </c>
      <c r="F161" t="s">
        <v>57</v>
      </c>
      <c r="G161" s="1">
        <v>10</v>
      </c>
      <c r="H161" s="1">
        <v>20</v>
      </c>
      <c r="I161">
        <v>1570</v>
      </c>
      <c r="J161" s="2">
        <v>0.03</v>
      </c>
      <c r="K161" s="1">
        <v>31400</v>
      </c>
      <c r="L161" s="1">
        <v>942</v>
      </c>
      <c r="M161" s="1">
        <v>30458</v>
      </c>
      <c r="N161" s="1">
        <v>15700</v>
      </c>
      <c r="O161" s="1">
        <v>14758</v>
      </c>
      <c r="P161">
        <v>1</v>
      </c>
      <c r="Q161">
        <v>6</v>
      </c>
      <c r="R161">
        <v>2014</v>
      </c>
      <c r="S161" s="3">
        <v>41791</v>
      </c>
      <c r="T161" t="str">
        <f t="shared" si="2"/>
        <v>Very Low Discount</v>
      </c>
    </row>
    <row r="162" spans="1:20" x14ac:dyDescent="0.25">
      <c r="A162" t="s">
        <v>164</v>
      </c>
      <c r="B162" t="s">
        <v>54</v>
      </c>
      <c r="C162" t="s">
        <v>55</v>
      </c>
      <c r="D162" t="s">
        <v>41</v>
      </c>
      <c r="E162" t="s">
        <v>42</v>
      </c>
      <c r="F162" t="s">
        <v>57</v>
      </c>
      <c r="G162" s="1">
        <v>10</v>
      </c>
      <c r="H162" s="1">
        <v>20</v>
      </c>
      <c r="I162">
        <v>1369</v>
      </c>
      <c r="J162" s="2">
        <v>3.0010956902848794E-2</v>
      </c>
      <c r="K162" s="1">
        <v>27380</v>
      </c>
      <c r="L162" s="1">
        <v>821.69999999999993</v>
      </c>
      <c r="M162" s="1">
        <v>26558.3</v>
      </c>
      <c r="N162" s="1">
        <v>13690</v>
      </c>
      <c r="O162" s="1">
        <v>12868.3</v>
      </c>
      <c r="P162">
        <v>1</v>
      </c>
      <c r="Q162">
        <v>7</v>
      </c>
      <c r="R162">
        <v>2014</v>
      </c>
      <c r="S162" s="3">
        <v>41821</v>
      </c>
      <c r="T162" t="str">
        <f t="shared" si="2"/>
        <v>Low Discount</v>
      </c>
    </row>
    <row r="163" spans="1:20" x14ac:dyDescent="0.25">
      <c r="A163" t="s">
        <v>165</v>
      </c>
      <c r="B163" t="s">
        <v>20</v>
      </c>
      <c r="C163" t="s">
        <v>21</v>
      </c>
      <c r="D163" t="s">
        <v>46</v>
      </c>
      <c r="E163" t="s">
        <v>47</v>
      </c>
      <c r="F163" t="s">
        <v>57</v>
      </c>
      <c r="G163" s="1">
        <v>10</v>
      </c>
      <c r="H163" s="1">
        <v>20</v>
      </c>
      <c r="I163">
        <v>2009</v>
      </c>
      <c r="J163" s="2">
        <v>0.03</v>
      </c>
      <c r="K163" s="1">
        <v>40180</v>
      </c>
      <c r="L163" s="1">
        <v>1205.3999999999999</v>
      </c>
      <c r="M163" s="1">
        <v>38974.6</v>
      </c>
      <c r="N163" s="1">
        <v>20090</v>
      </c>
      <c r="O163" s="1">
        <v>18884.599999999999</v>
      </c>
      <c r="P163">
        <v>1</v>
      </c>
      <c r="Q163">
        <v>10</v>
      </c>
      <c r="R163">
        <v>2014</v>
      </c>
      <c r="S163" s="3">
        <v>41913</v>
      </c>
      <c r="T163" t="str">
        <f t="shared" si="2"/>
        <v>Very Low Discount</v>
      </c>
    </row>
    <row r="164" spans="1:20" x14ac:dyDescent="0.25">
      <c r="A164" t="s">
        <v>166</v>
      </c>
      <c r="B164" t="s">
        <v>26</v>
      </c>
      <c r="C164" t="s">
        <v>27</v>
      </c>
      <c r="D164" t="s">
        <v>31</v>
      </c>
      <c r="E164" t="s">
        <v>32</v>
      </c>
      <c r="F164" t="s">
        <v>57</v>
      </c>
      <c r="G164" s="1">
        <v>10</v>
      </c>
      <c r="H164" s="1">
        <v>20</v>
      </c>
      <c r="I164">
        <v>1945</v>
      </c>
      <c r="J164" s="2">
        <v>0.03</v>
      </c>
      <c r="K164" s="1">
        <v>38900</v>
      </c>
      <c r="L164" s="1">
        <v>1167</v>
      </c>
      <c r="M164" s="1">
        <v>37733</v>
      </c>
      <c r="N164" s="1">
        <v>19450</v>
      </c>
      <c r="O164" s="1">
        <v>18283</v>
      </c>
      <c r="P164">
        <v>1</v>
      </c>
      <c r="Q164">
        <v>10</v>
      </c>
      <c r="R164">
        <v>2013</v>
      </c>
      <c r="S164" s="3">
        <v>41548</v>
      </c>
      <c r="T164" t="str">
        <f t="shared" si="2"/>
        <v>Very Low Discount</v>
      </c>
    </row>
    <row r="165" spans="1:20" x14ac:dyDescent="0.25">
      <c r="A165" t="s">
        <v>159</v>
      </c>
      <c r="B165" t="s">
        <v>29</v>
      </c>
      <c r="C165" t="s">
        <v>30</v>
      </c>
      <c r="D165" t="s">
        <v>46</v>
      </c>
      <c r="E165" t="s">
        <v>47</v>
      </c>
      <c r="F165" t="s">
        <v>57</v>
      </c>
      <c r="G165" s="1">
        <v>10</v>
      </c>
      <c r="H165" s="1">
        <v>20</v>
      </c>
      <c r="I165">
        <v>1287</v>
      </c>
      <c r="J165" s="2">
        <v>0.03</v>
      </c>
      <c r="K165" s="1">
        <v>25740</v>
      </c>
      <c r="L165" s="1">
        <v>772.19999999999993</v>
      </c>
      <c r="M165" s="1">
        <v>24967.8</v>
      </c>
      <c r="N165" s="1">
        <v>12870</v>
      </c>
      <c r="O165" s="1">
        <v>12097.8</v>
      </c>
      <c r="P165">
        <v>1</v>
      </c>
      <c r="Q165">
        <v>12</v>
      </c>
      <c r="R165">
        <v>2014</v>
      </c>
      <c r="S165" s="3">
        <v>41974</v>
      </c>
      <c r="T165" t="str">
        <f t="shared" si="2"/>
        <v>Very Low Discount</v>
      </c>
    </row>
    <row r="166" spans="1:20" x14ac:dyDescent="0.25">
      <c r="A166" t="s">
        <v>160</v>
      </c>
      <c r="B166" t="s">
        <v>26</v>
      </c>
      <c r="C166" t="s">
        <v>27</v>
      </c>
      <c r="D166" t="s">
        <v>46</v>
      </c>
      <c r="E166" t="s">
        <v>47</v>
      </c>
      <c r="F166" t="s">
        <v>57</v>
      </c>
      <c r="G166" s="1">
        <v>10</v>
      </c>
      <c r="H166" s="1">
        <v>20</v>
      </c>
      <c r="I166">
        <v>1706</v>
      </c>
      <c r="J166" s="2">
        <v>0.03</v>
      </c>
      <c r="K166" s="1">
        <v>34120</v>
      </c>
      <c r="L166" s="1">
        <v>1023.5999999999999</v>
      </c>
      <c r="M166" s="1">
        <v>33096.400000000001</v>
      </c>
      <c r="N166" s="1">
        <v>17060</v>
      </c>
      <c r="O166" s="1">
        <v>16036.400000000001</v>
      </c>
      <c r="P166">
        <v>1</v>
      </c>
      <c r="Q166">
        <v>12</v>
      </c>
      <c r="R166">
        <v>2014</v>
      </c>
      <c r="S166" s="3">
        <v>41974</v>
      </c>
      <c r="T166" t="str">
        <f t="shared" si="2"/>
        <v>Very Low Discount</v>
      </c>
    </row>
    <row r="167" spans="1:20" x14ac:dyDescent="0.25">
      <c r="A167" t="s">
        <v>165</v>
      </c>
      <c r="B167" t="s">
        <v>20</v>
      </c>
      <c r="C167" t="s">
        <v>21</v>
      </c>
      <c r="D167" t="s">
        <v>46</v>
      </c>
      <c r="E167" t="s">
        <v>47</v>
      </c>
      <c r="F167" t="s">
        <v>71</v>
      </c>
      <c r="G167" s="1">
        <v>120</v>
      </c>
      <c r="H167" s="1">
        <v>180</v>
      </c>
      <c r="I167">
        <v>2009</v>
      </c>
      <c r="J167" s="2">
        <v>0.03</v>
      </c>
      <c r="K167" s="1">
        <v>361620</v>
      </c>
      <c r="L167" s="1">
        <v>10848.6</v>
      </c>
      <c r="M167" s="1">
        <v>350771.4</v>
      </c>
      <c r="N167" s="1">
        <v>241080</v>
      </c>
      <c r="O167" s="1">
        <v>109691.40000000002</v>
      </c>
      <c r="P167">
        <v>1</v>
      </c>
      <c r="Q167">
        <v>10</v>
      </c>
      <c r="R167">
        <v>2014</v>
      </c>
      <c r="S167" s="3">
        <v>41913</v>
      </c>
      <c r="T167" t="str">
        <f t="shared" si="2"/>
        <v>Very Low Discount</v>
      </c>
    </row>
    <row r="168" spans="1:20" x14ac:dyDescent="0.25">
      <c r="A168" t="s">
        <v>167</v>
      </c>
      <c r="B168" t="s">
        <v>54</v>
      </c>
      <c r="C168" t="s">
        <v>55</v>
      </c>
      <c r="D168" t="s">
        <v>49</v>
      </c>
      <c r="E168" t="s">
        <v>50</v>
      </c>
      <c r="F168" t="s">
        <v>76</v>
      </c>
      <c r="G168" s="1">
        <v>250</v>
      </c>
      <c r="H168" s="1">
        <v>300</v>
      </c>
      <c r="I168">
        <v>2844</v>
      </c>
      <c r="J168" s="2">
        <v>0.03</v>
      </c>
      <c r="K168" s="1">
        <v>853200</v>
      </c>
      <c r="L168" s="1">
        <v>25596</v>
      </c>
      <c r="M168" s="1">
        <v>827604</v>
      </c>
      <c r="N168" s="1">
        <v>711000</v>
      </c>
      <c r="O168" s="1">
        <v>116604</v>
      </c>
      <c r="P168">
        <v>1</v>
      </c>
      <c r="Q168">
        <v>2</v>
      </c>
      <c r="R168">
        <v>2014</v>
      </c>
      <c r="S168" s="3">
        <v>41671</v>
      </c>
      <c r="T168" t="str">
        <f t="shared" si="2"/>
        <v>Very Low Discount</v>
      </c>
    </row>
    <row r="169" spans="1:20" x14ac:dyDescent="0.25">
      <c r="A169" t="s">
        <v>168</v>
      </c>
      <c r="B169" t="s">
        <v>35</v>
      </c>
      <c r="C169" t="s">
        <v>36</v>
      </c>
      <c r="D169" t="s">
        <v>41</v>
      </c>
      <c r="E169" t="s">
        <v>42</v>
      </c>
      <c r="F169" t="s">
        <v>76</v>
      </c>
      <c r="G169" s="1">
        <v>250</v>
      </c>
      <c r="H169" s="1">
        <v>300</v>
      </c>
      <c r="I169">
        <v>1916</v>
      </c>
      <c r="J169" s="2">
        <v>0.03</v>
      </c>
      <c r="K169" s="1">
        <v>574800</v>
      </c>
      <c r="L169" s="1">
        <v>17244</v>
      </c>
      <c r="M169" s="1">
        <v>557556</v>
      </c>
      <c r="N169" s="1">
        <v>479000</v>
      </c>
      <c r="O169" s="1">
        <v>78556</v>
      </c>
      <c r="P169">
        <v>1</v>
      </c>
      <c r="Q169">
        <v>4</v>
      </c>
      <c r="R169">
        <v>2014</v>
      </c>
      <c r="S169" s="3">
        <v>41730</v>
      </c>
      <c r="T169" t="str">
        <f t="shared" si="2"/>
        <v>Very Low Discount</v>
      </c>
    </row>
    <row r="170" spans="1:20" x14ac:dyDescent="0.25">
      <c r="A170" t="s">
        <v>163</v>
      </c>
      <c r="B170" t="s">
        <v>26</v>
      </c>
      <c r="C170" t="s">
        <v>27</v>
      </c>
      <c r="D170" t="s">
        <v>46</v>
      </c>
      <c r="E170" t="s">
        <v>47</v>
      </c>
      <c r="F170" t="s">
        <v>76</v>
      </c>
      <c r="G170" s="1">
        <v>250</v>
      </c>
      <c r="H170" s="1">
        <v>300</v>
      </c>
      <c r="I170">
        <v>1570</v>
      </c>
      <c r="J170" s="2">
        <v>0.03</v>
      </c>
      <c r="K170" s="1">
        <v>471000</v>
      </c>
      <c r="L170" s="1">
        <v>14130</v>
      </c>
      <c r="M170" s="1">
        <v>456870</v>
      </c>
      <c r="N170" s="1">
        <v>392500</v>
      </c>
      <c r="O170" s="1">
        <v>64370</v>
      </c>
      <c r="P170">
        <v>1</v>
      </c>
      <c r="Q170">
        <v>6</v>
      </c>
      <c r="R170">
        <v>2014</v>
      </c>
      <c r="S170" s="3">
        <v>41791</v>
      </c>
      <c r="T170" t="str">
        <f t="shared" si="2"/>
        <v>Very Low Discount</v>
      </c>
    </row>
    <row r="171" spans="1:20" x14ac:dyDescent="0.25">
      <c r="A171" t="s">
        <v>169</v>
      </c>
      <c r="B171" t="s">
        <v>20</v>
      </c>
      <c r="C171" t="s">
        <v>21</v>
      </c>
      <c r="D171" t="s">
        <v>49</v>
      </c>
      <c r="E171" t="s">
        <v>50</v>
      </c>
      <c r="F171" t="s">
        <v>76</v>
      </c>
      <c r="G171" s="1">
        <v>250</v>
      </c>
      <c r="H171" s="1">
        <v>300</v>
      </c>
      <c r="I171">
        <v>1874</v>
      </c>
      <c r="J171" s="2">
        <v>0.03</v>
      </c>
      <c r="K171" s="1">
        <v>562200</v>
      </c>
      <c r="L171" s="1">
        <v>16866</v>
      </c>
      <c r="M171" s="1">
        <v>545334</v>
      </c>
      <c r="N171" s="1">
        <v>468500</v>
      </c>
      <c r="O171" s="1">
        <v>76834</v>
      </c>
      <c r="P171">
        <v>1</v>
      </c>
      <c r="Q171">
        <v>8</v>
      </c>
      <c r="R171">
        <v>2014</v>
      </c>
      <c r="S171" s="3">
        <v>41852</v>
      </c>
      <c r="T171" t="str">
        <f t="shared" si="2"/>
        <v>Very Low Discount</v>
      </c>
    </row>
    <row r="172" spans="1:20" x14ac:dyDescent="0.25">
      <c r="A172" t="s">
        <v>61</v>
      </c>
      <c r="B172" t="s">
        <v>35</v>
      </c>
      <c r="C172" t="s">
        <v>36</v>
      </c>
      <c r="D172" t="s">
        <v>22</v>
      </c>
      <c r="E172" t="s">
        <v>23</v>
      </c>
      <c r="F172" t="s">
        <v>76</v>
      </c>
      <c r="G172" s="1">
        <v>250</v>
      </c>
      <c r="H172" s="1">
        <v>300</v>
      </c>
      <c r="I172">
        <v>1642</v>
      </c>
      <c r="J172" s="2">
        <v>0.03</v>
      </c>
      <c r="K172" s="1">
        <v>492600</v>
      </c>
      <c r="L172" s="1">
        <v>14778</v>
      </c>
      <c r="M172" s="1">
        <v>477822</v>
      </c>
      <c r="N172" s="1">
        <v>410500</v>
      </c>
      <c r="O172" s="1">
        <v>67322</v>
      </c>
      <c r="P172">
        <v>1</v>
      </c>
      <c r="Q172">
        <v>8</v>
      </c>
      <c r="R172">
        <v>2014</v>
      </c>
      <c r="S172" s="3">
        <v>41852</v>
      </c>
      <c r="T172" t="str">
        <f t="shared" si="2"/>
        <v>Very Low Discount</v>
      </c>
    </row>
    <row r="173" spans="1:20" x14ac:dyDescent="0.25">
      <c r="A173" t="s">
        <v>166</v>
      </c>
      <c r="B173" t="s">
        <v>26</v>
      </c>
      <c r="C173" t="s">
        <v>27</v>
      </c>
      <c r="D173" t="s">
        <v>31</v>
      </c>
      <c r="E173" t="s">
        <v>32</v>
      </c>
      <c r="F173" t="s">
        <v>76</v>
      </c>
      <c r="G173" s="1">
        <v>250</v>
      </c>
      <c r="H173" s="1">
        <v>300</v>
      </c>
      <c r="I173">
        <v>1945</v>
      </c>
      <c r="J173" s="2">
        <v>0.03</v>
      </c>
      <c r="K173" s="1">
        <v>583500</v>
      </c>
      <c r="L173" s="1">
        <v>17505</v>
      </c>
      <c r="M173" s="1">
        <v>565995</v>
      </c>
      <c r="N173" s="1">
        <v>486250</v>
      </c>
      <c r="O173" s="1">
        <v>79745</v>
      </c>
      <c r="P173">
        <v>1</v>
      </c>
      <c r="Q173">
        <v>10</v>
      </c>
      <c r="R173">
        <v>2013</v>
      </c>
      <c r="S173" s="3">
        <v>41548</v>
      </c>
      <c r="T173" t="str">
        <f t="shared" si="2"/>
        <v>Very Low Discount</v>
      </c>
    </row>
    <row r="174" spans="1:20" x14ac:dyDescent="0.25">
      <c r="A174" t="s">
        <v>170</v>
      </c>
      <c r="B174" t="s">
        <v>20</v>
      </c>
      <c r="C174" t="s">
        <v>21</v>
      </c>
      <c r="D174" t="s">
        <v>22</v>
      </c>
      <c r="E174" t="s">
        <v>23</v>
      </c>
      <c r="F174" t="s">
        <v>24</v>
      </c>
      <c r="G174" s="1">
        <v>3</v>
      </c>
      <c r="H174" s="1">
        <v>20</v>
      </c>
      <c r="I174">
        <v>831</v>
      </c>
      <c r="J174" s="2">
        <v>3.0000000000000002E-2</v>
      </c>
      <c r="K174" s="1">
        <v>16620</v>
      </c>
      <c r="L174" s="1">
        <v>498.6</v>
      </c>
      <c r="M174" s="1">
        <v>16121.4</v>
      </c>
      <c r="N174" s="1">
        <v>2493</v>
      </c>
      <c r="O174" s="1">
        <v>13628.4</v>
      </c>
      <c r="P174">
        <v>1</v>
      </c>
      <c r="Q174">
        <v>5</v>
      </c>
      <c r="R174">
        <v>2014</v>
      </c>
      <c r="S174" s="3">
        <v>41760</v>
      </c>
      <c r="T174" t="str">
        <f t="shared" si="2"/>
        <v>Very Low Discount</v>
      </c>
    </row>
    <row r="175" spans="1:20" x14ac:dyDescent="0.25">
      <c r="A175" t="s">
        <v>171</v>
      </c>
      <c r="B175" t="s">
        <v>35</v>
      </c>
      <c r="C175" t="s">
        <v>36</v>
      </c>
      <c r="D175" t="s">
        <v>22</v>
      </c>
      <c r="E175" t="s">
        <v>23</v>
      </c>
      <c r="F175" t="s">
        <v>57</v>
      </c>
      <c r="G175" s="1">
        <v>10</v>
      </c>
      <c r="H175" s="1">
        <v>20</v>
      </c>
      <c r="I175">
        <v>1760</v>
      </c>
      <c r="J175" s="2">
        <v>3.0000000000000002E-2</v>
      </c>
      <c r="K175" s="1">
        <v>35200</v>
      </c>
      <c r="L175" s="1">
        <v>1056</v>
      </c>
      <c r="M175" s="1">
        <v>34144</v>
      </c>
      <c r="N175" s="1">
        <v>17600</v>
      </c>
      <c r="O175" s="1">
        <v>16544</v>
      </c>
      <c r="P175">
        <v>1</v>
      </c>
      <c r="Q175">
        <v>9</v>
      </c>
      <c r="R175">
        <v>2013</v>
      </c>
      <c r="S175" s="3">
        <v>41518</v>
      </c>
      <c r="T175" t="str">
        <f t="shared" si="2"/>
        <v>Very Low Discount</v>
      </c>
    </row>
    <row r="176" spans="1:20" x14ac:dyDescent="0.25">
      <c r="A176" t="s">
        <v>118</v>
      </c>
      <c r="B176" t="s">
        <v>20</v>
      </c>
      <c r="C176" t="s">
        <v>21</v>
      </c>
      <c r="D176" t="s">
        <v>22</v>
      </c>
      <c r="E176" t="s">
        <v>23</v>
      </c>
      <c r="F176" t="s">
        <v>71</v>
      </c>
      <c r="G176" s="1">
        <v>120</v>
      </c>
      <c r="H176" s="1">
        <v>180</v>
      </c>
      <c r="I176">
        <v>3850</v>
      </c>
      <c r="J176" s="2">
        <v>3.0003896103896106E-2</v>
      </c>
      <c r="K176" s="1">
        <v>693000</v>
      </c>
      <c r="L176" s="1">
        <v>20792.7</v>
      </c>
      <c r="M176" s="1">
        <v>672207.3</v>
      </c>
      <c r="N176" s="1">
        <v>462000</v>
      </c>
      <c r="O176" s="1">
        <v>210207.30000000005</v>
      </c>
      <c r="P176">
        <v>1</v>
      </c>
      <c r="Q176">
        <v>4</v>
      </c>
      <c r="R176">
        <v>2014</v>
      </c>
      <c r="S176" s="3">
        <v>41730</v>
      </c>
      <c r="T176" t="str">
        <f t="shared" si="2"/>
        <v>Low Discount</v>
      </c>
    </row>
    <row r="177" spans="1:20" x14ac:dyDescent="0.25">
      <c r="A177" t="s">
        <v>172</v>
      </c>
      <c r="B177" t="s">
        <v>26</v>
      </c>
      <c r="C177" t="s">
        <v>27</v>
      </c>
      <c r="D177" t="s">
        <v>41</v>
      </c>
      <c r="E177" t="s">
        <v>42</v>
      </c>
      <c r="F177" t="s">
        <v>76</v>
      </c>
      <c r="G177" s="1">
        <v>250</v>
      </c>
      <c r="H177" s="1">
        <v>300</v>
      </c>
      <c r="I177">
        <v>2479</v>
      </c>
      <c r="J177" s="2">
        <v>3.0000000000000002E-2</v>
      </c>
      <c r="K177" s="1">
        <v>743700</v>
      </c>
      <c r="L177" s="1">
        <v>22311</v>
      </c>
      <c r="M177" s="1">
        <v>721389</v>
      </c>
      <c r="N177" s="1">
        <v>619750</v>
      </c>
      <c r="O177" s="1">
        <v>101639</v>
      </c>
      <c r="P177">
        <v>1</v>
      </c>
      <c r="Q177">
        <v>1</v>
      </c>
      <c r="R177">
        <v>2014</v>
      </c>
      <c r="S177" s="3">
        <v>41640</v>
      </c>
      <c r="T177" t="str">
        <f t="shared" si="2"/>
        <v>Very Low Discount</v>
      </c>
    </row>
    <row r="178" spans="1:20" x14ac:dyDescent="0.25">
      <c r="A178" t="s">
        <v>173</v>
      </c>
      <c r="B178" t="s">
        <v>35</v>
      </c>
      <c r="C178" t="s">
        <v>36</v>
      </c>
      <c r="D178" t="s">
        <v>31</v>
      </c>
      <c r="E178" t="s">
        <v>32</v>
      </c>
      <c r="F178" t="s">
        <v>39</v>
      </c>
      <c r="G178" s="1">
        <v>5</v>
      </c>
      <c r="H178" s="1">
        <v>15</v>
      </c>
      <c r="I178">
        <v>2031</v>
      </c>
      <c r="J178" s="2">
        <v>3.9999999999999994E-2</v>
      </c>
      <c r="K178" s="1">
        <v>30465</v>
      </c>
      <c r="L178" s="1">
        <v>1218.5999999999999</v>
      </c>
      <c r="M178" s="1">
        <v>29246.400000000001</v>
      </c>
      <c r="N178" s="1">
        <v>10155</v>
      </c>
      <c r="O178" s="1">
        <v>19091.400000000001</v>
      </c>
      <c r="P178">
        <v>1</v>
      </c>
      <c r="Q178">
        <v>10</v>
      </c>
      <c r="R178">
        <v>2014</v>
      </c>
      <c r="S178" s="3">
        <v>41913</v>
      </c>
      <c r="T178" t="str">
        <f t="shared" si="2"/>
        <v>Low Discount</v>
      </c>
    </row>
    <row r="179" spans="1:20" x14ac:dyDescent="0.25">
      <c r="A179" t="s">
        <v>173</v>
      </c>
      <c r="B179" t="s">
        <v>35</v>
      </c>
      <c r="C179" t="s">
        <v>36</v>
      </c>
      <c r="D179" t="s">
        <v>31</v>
      </c>
      <c r="E179" t="s">
        <v>32</v>
      </c>
      <c r="F179" t="s">
        <v>57</v>
      </c>
      <c r="G179" s="1">
        <v>10</v>
      </c>
      <c r="H179" s="1">
        <v>20</v>
      </c>
      <c r="I179">
        <v>2031</v>
      </c>
      <c r="J179" s="2">
        <v>3.9999999999999994E-2</v>
      </c>
      <c r="K179" s="1">
        <v>40620</v>
      </c>
      <c r="L179" s="1">
        <v>1624.7999999999997</v>
      </c>
      <c r="M179" s="1">
        <v>38995.199999999997</v>
      </c>
      <c r="N179" s="1">
        <v>20310</v>
      </c>
      <c r="O179" s="1">
        <v>18685.199999999997</v>
      </c>
      <c r="P179">
        <v>1</v>
      </c>
      <c r="Q179">
        <v>10</v>
      </c>
      <c r="R179">
        <v>2014</v>
      </c>
      <c r="S179" s="3">
        <v>41913</v>
      </c>
      <c r="T179" t="str">
        <f t="shared" si="2"/>
        <v>Low Discount</v>
      </c>
    </row>
    <row r="180" spans="1:20" x14ac:dyDescent="0.25">
      <c r="A180" t="s">
        <v>174</v>
      </c>
      <c r="B180" t="s">
        <v>29</v>
      </c>
      <c r="C180" t="s">
        <v>30</v>
      </c>
      <c r="D180" t="s">
        <v>31</v>
      </c>
      <c r="E180" t="s">
        <v>32</v>
      </c>
      <c r="F180" t="s">
        <v>57</v>
      </c>
      <c r="G180" s="1">
        <v>10</v>
      </c>
      <c r="H180" s="1">
        <v>20</v>
      </c>
      <c r="I180">
        <v>2261</v>
      </c>
      <c r="J180" s="2">
        <v>3.9999999999999994E-2</v>
      </c>
      <c r="K180" s="1">
        <v>45220</v>
      </c>
      <c r="L180" s="1">
        <v>1808.7999999999997</v>
      </c>
      <c r="M180" s="1">
        <v>43411.199999999997</v>
      </c>
      <c r="N180" s="1">
        <v>22610</v>
      </c>
      <c r="O180" s="1">
        <v>20801.199999999997</v>
      </c>
      <c r="P180">
        <v>1</v>
      </c>
      <c r="Q180">
        <v>12</v>
      </c>
      <c r="R180">
        <v>2013</v>
      </c>
      <c r="S180" s="3">
        <v>41609</v>
      </c>
      <c r="T180" t="str">
        <f t="shared" si="2"/>
        <v>Low Discount</v>
      </c>
    </row>
    <row r="181" spans="1:20" x14ac:dyDescent="0.25">
      <c r="A181" t="s">
        <v>175</v>
      </c>
      <c r="B181" t="s">
        <v>54</v>
      </c>
      <c r="C181" t="s">
        <v>55</v>
      </c>
      <c r="D181" t="s">
        <v>22</v>
      </c>
      <c r="E181" t="s">
        <v>23</v>
      </c>
      <c r="F181" t="s">
        <v>71</v>
      </c>
      <c r="G181" s="1">
        <v>120</v>
      </c>
      <c r="H181" s="1">
        <v>180</v>
      </c>
      <c r="I181">
        <v>736</v>
      </c>
      <c r="J181" s="2">
        <v>3.9999999999999994E-2</v>
      </c>
      <c r="K181" s="1">
        <v>132480</v>
      </c>
      <c r="L181" s="1">
        <v>5299.1999999999989</v>
      </c>
      <c r="M181" s="1">
        <v>127180.8</v>
      </c>
      <c r="N181" s="1">
        <v>88320</v>
      </c>
      <c r="O181" s="1">
        <v>38860.800000000003</v>
      </c>
      <c r="P181">
        <v>1</v>
      </c>
      <c r="Q181">
        <v>9</v>
      </c>
      <c r="R181">
        <v>2013</v>
      </c>
      <c r="S181" s="3">
        <v>41518</v>
      </c>
      <c r="T181" t="str">
        <f t="shared" si="2"/>
        <v>Low Discount</v>
      </c>
    </row>
    <row r="182" spans="1:20" x14ac:dyDescent="0.25">
      <c r="A182" t="s">
        <v>176</v>
      </c>
      <c r="B182" t="s">
        <v>20</v>
      </c>
      <c r="C182" t="s">
        <v>21</v>
      </c>
      <c r="D182" t="s">
        <v>22</v>
      </c>
      <c r="E182" t="s">
        <v>23</v>
      </c>
      <c r="F182" t="s">
        <v>24</v>
      </c>
      <c r="G182" s="1">
        <v>3</v>
      </c>
      <c r="H182" s="1">
        <v>20</v>
      </c>
      <c r="I182">
        <v>2851</v>
      </c>
      <c r="J182" s="2">
        <v>0.04</v>
      </c>
      <c r="K182" s="1">
        <v>57020</v>
      </c>
      <c r="L182" s="1">
        <v>2280.8000000000002</v>
      </c>
      <c r="M182" s="1">
        <v>54739.199999999997</v>
      </c>
      <c r="N182" s="1">
        <v>8553</v>
      </c>
      <c r="O182" s="1">
        <v>46186.2</v>
      </c>
      <c r="P182">
        <v>1</v>
      </c>
      <c r="Q182">
        <v>10</v>
      </c>
      <c r="R182">
        <v>2013</v>
      </c>
      <c r="S182" s="3">
        <v>41548</v>
      </c>
      <c r="T182" t="str">
        <f t="shared" si="2"/>
        <v>Low Discount</v>
      </c>
    </row>
    <row r="183" spans="1:20" x14ac:dyDescent="0.25">
      <c r="A183" t="s">
        <v>177</v>
      </c>
      <c r="B183" t="s">
        <v>26</v>
      </c>
      <c r="C183" t="s">
        <v>27</v>
      </c>
      <c r="D183" t="s">
        <v>49</v>
      </c>
      <c r="E183" t="s">
        <v>50</v>
      </c>
      <c r="F183" t="s">
        <v>24</v>
      </c>
      <c r="G183" s="1">
        <v>3</v>
      </c>
      <c r="H183" s="1">
        <v>20</v>
      </c>
      <c r="I183">
        <v>2021</v>
      </c>
      <c r="J183" s="2">
        <v>0.04</v>
      </c>
      <c r="K183" s="1">
        <v>40420</v>
      </c>
      <c r="L183" s="1">
        <v>1616.8</v>
      </c>
      <c r="M183" s="1">
        <v>38803.199999999997</v>
      </c>
      <c r="N183" s="1">
        <v>6063</v>
      </c>
      <c r="O183" s="1">
        <v>32740.199999999997</v>
      </c>
      <c r="P183">
        <v>1</v>
      </c>
      <c r="Q183">
        <v>10</v>
      </c>
      <c r="R183">
        <v>2014</v>
      </c>
      <c r="S183" s="3">
        <v>41913</v>
      </c>
      <c r="T183" t="str">
        <f t="shared" si="2"/>
        <v>Low Discount</v>
      </c>
    </row>
    <row r="184" spans="1:20" x14ac:dyDescent="0.25">
      <c r="A184" t="s">
        <v>178</v>
      </c>
      <c r="B184" t="s">
        <v>54</v>
      </c>
      <c r="C184" t="s">
        <v>55</v>
      </c>
      <c r="D184" t="s">
        <v>22</v>
      </c>
      <c r="E184" t="s">
        <v>23</v>
      </c>
      <c r="F184" t="s">
        <v>24</v>
      </c>
      <c r="G184" s="1">
        <v>3</v>
      </c>
      <c r="H184" s="1">
        <v>20</v>
      </c>
      <c r="I184">
        <v>274</v>
      </c>
      <c r="J184" s="2">
        <v>0.04</v>
      </c>
      <c r="K184" s="1">
        <v>5480</v>
      </c>
      <c r="L184" s="1">
        <v>219.20000000000002</v>
      </c>
      <c r="M184" s="1">
        <v>5260.8</v>
      </c>
      <c r="N184" s="1">
        <v>822</v>
      </c>
      <c r="O184" s="1">
        <v>4438.8</v>
      </c>
      <c r="P184">
        <v>1</v>
      </c>
      <c r="Q184">
        <v>12</v>
      </c>
      <c r="R184">
        <v>2014</v>
      </c>
      <c r="S184" s="3">
        <v>41974</v>
      </c>
      <c r="T184" t="str">
        <f t="shared" si="2"/>
        <v>Low Discount</v>
      </c>
    </row>
    <row r="185" spans="1:20" x14ac:dyDescent="0.25">
      <c r="A185" t="s">
        <v>179</v>
      </c>
      <c r="B185" t="s">
        <v>20</v>
      </c>
      <c r="C185" t="s">
        <v>21</v>
      </c>
      <c r="D185" t="s">
        <v>31</v>
      </c>
      <c r="E185" t="s">
        <v>32</v>
      </c>
      <c r="F185" t="s">
        <v>39</v>
      </c>
      <c r="G185" s="1">
        <v>5</v>
      </c>
      <c r="H185" s="1">
        <v>15</v>
      </c>
      <c r="I185">
        <v>1967</v>
      </c>
      <c r="J185" s="2">
        <v>0.04</v>
      </c>
      <c r="K185" s="1">
        <v>29505</v>
      </c>
      <c r="L185" s="1">
        <v>1180.2</v>
      </c>
      <c r="M185" s="1">
        <v>28324.799999999999</v>
      </c>
      <c r="N185" s="1">
        <v>9835</v>
      </c>
      <c r="O185" s="1">
        <v>18489.8</v>
      </c>
      <c r="P185">
        <v>1</v>
      </c>
      <c r="Q185">
        <v>3</v>
      </c>
      <c r="R185">
        <v>2014</v>
      </c>
      <c r="S185" s="3">
        <v>41699</v>
      </c>
      <c r="T185" t="str">
        <f t="shared" si="2"/>
        <v>Low Discount</v>
      </c>
    </row>
    <row r="186" spans="1:20" x14ac:dyDescent="0.25">
      <c r="A186" t="s">
        <v>180</v>
      </c>
      <c r="B186" t="s">
        <v>26</v>
      </c>
      <c r="C186" t="s">
        <v>27</v>
      </c>
      <c r="D186" t="s">
        <v>49</v>
      </c>
      <c r="E186" t="s">
        <v>50</v>
      </c>
      <c r="F186" t="s">
        <v>39</v>
      </c>
      <c r="G186" s="1">
        <v>5</v>
      </c>
      <c r="H186" s="1">
        <v>15</v>
      </c>
      <c r="I186">
        <v>1859</v>
      </c>
      <c r="J186" s="2">
        <v>0.04</v>
      </c>
      <c r="K186" s="1">
        <v>27885</v>
      </c>
      <c r="L186" s="1">
        <v>1115.4000000000001</v>
      </c>
      <c r="M186" s="1">
        <v>26769.599999999999</v>
      </c>
      <c r="N186" s="1">
        <v>9295</v>
      </c>
      <c r="O186" s="1">
        <v>17474.599999999999</v>
      </c>
      <c r="P186">
        <v>1</v>
      </c>
      <c r="Q186">
        <v>8</v>
      </c>
      <c r="R186">
        <v>2014</v>
      </c>
      <c r="S186" s="3">
        <v>41852</v>
      </c>
      <c r="T186" t="str">
        <f t="shared" si="2"/>
        <v>Low Discount</v>
      </c>
    </row>
    <row r="187" spans="1:20" x14ac:dyDescent="0.25">
      <c r="A187" t="s">
        <v>176</v>
      </c>
      <c r="B187" t="s">
        <v>20</v>
      </c>
      <c r="C187" t="s">
        <v>21</v>
      </c>
      <c r="D187" t="s">
        <v>22</v>
      </c>
      <c r="E187" t="s">
        <v>23</v>
      </c>
      <c r="F187" t="s">
        <v>39</v>
      </c>
      <c r="G187" s="1">
        <v>5</v>
      </c>
      <c r="H187" s="1">
        <v>15</v>
      </c>
      <c r="I187">
        <v>2851</v>
      </c>
      <c r="J187" s="2">
        <v>0.04</v>
      </c>
      <c r="K187" s="1">
        <v>42765</v>
      </c>
      <c r="L187" s="1">
        <v>1710.6000000000001</v>
      </c>
      <c r="M187" s="1">
        <v>41054.400000000001</v>
      </c>
      <c r="N187" s="1">
        <v>14255</v>
      </c>
      <c r="O187" s="1">
        <v>26799.4</v>
      </c>
      <c r="P187">
        <v>1</v>
      </c>
      <c r="Q187">
        <v>10</v>
      </c>
      <c r="R187">
        <v>2013</v>
      </c>
      <c r="S187" s="3">
        <v>41548</v>
      </c>
      <c r="T187" t="str">
        <f t="shared" si="2"/>
        <v>Low Discount</v>
      </c>
    </row>
    <row r="188" spans="1:20" x14ac:dyDescent="0.25">
      <c r="A188" t="s">
        <v>177</v>
      </c>
      <c r="B188" t="s">
        <v>26</v>
      </c>
      <c r="C188" t="s">
        <v>27</v>
      </c>
      <c r="D188" t="s">
        <v>49</v>
      </c>
      <c r="E188" t="s">
        <v>50</v>
      </c>
      <c r="F188" t="s">
        <v>39</v>
      </c>
      <c r="G188" s="1">
        <v>5</v>
      </c>
      <c r="H188" s="1">
        <v>15</v>
      </c>
      <c r="I188">
        <v>2021</v>
      </c>
      <c r="J188" s="2">
        <v>0.04</v>
      </c>
      <c r="K188" s="1">
        <v>30315</v>
      </c>
      <c r="L188" s="1">
        <v>1212.6000000000001</v>
      </c>
      <c r="M188" s="1">
        <v>29102.400000000001</v>
      </c>
      <c r="N188" s="1">
        <v>10105</v>
      </c>
      <c r="O188" s="1">
        <v>18997.400000000001</v>
      </c>
      <c r="P188">
        <v>1</v>
      </c>
      <c r="Q188">
        <v>10</v>
      </c>
      <c r="R188">
        <v>2014</v>
      </c>
      <c r="S188" s="3">
        <v>41913</v>
      </c>
      <c r="T188" t="str">
        <f t="shared" si="2"/>
        <v>Low Discount</v>
      </c>
    </row>
    <row r="189" spans="1:20" x14ac:dyDescent="0.25">
      <c r="A189" t="s">
        <v>181</v>
      </c>
      <c r="B189" t="s">
        <v>35</v>
      </c>
      <c r="C189" t="s">
        <v>36</v>
      </c>
      <c r="D189" t="s">
        <v>46</v>
      </c>
      <c r="E189" t="s">
        <v>47</v>
      </c>
      <c r="F189" t="s">
        <v>39</v>
      </c>
      <c r="G189" s="1">
        <v>5</v>
      </c>
      <c r="H189" s="1">
        <v>15</v>
      </c>
      <c r="I189">
        <v>1138</v>
      </c>
      <c r="J189" s="2">
        <v>0.04</v>
      </c>
      <c r="K189" s="1">
        <v>17070</v>
      </c>
      <c r="L189" s="1">
        <v>682.80000000000007</v>
      </c>
      <c r="M189" s="1">
        <v>16387.2</v>
      </c>
      <c r="N189" s="1">
        <v>5690</v>
      </c>
      <c r="O189" s="1">
        <v>10697.2</v>
      </c>
      <c r="P189">
        <v>1</v>
      </c>
      <c r="Q189">
        <v>12</v>
      </c>
      <c r="R189">
        <v>2014</v>
      </c>
      <c r="S189" s="3">
        <v>41974</v>
      </c>
      <c r="T189" t="str">
        <f t="shared" si="2"/>
        <v>Low Discount</v>
      </c>
    </row>
    <row r="190" spans="1:20" x14ac:dyDescent="0.25">
      <c r="A190" t="s">
        <v>19</v>
      </c>
      <c r="B190" t="s">
        <v>20</v>
      </c>
      <c r="C190" t="s">
        <v>21</v>
      </c>
      <c r="D190" t="s">
        <v>22</v>
      </c>
      <c r="E190" t="s">
        <v>23</v>
      </c>
      <c r="F190" t="s">
        <v>57</v>
      </c>
      <c r="G190" s="1">
        <v>10</v>
      </c>
      <c r="H190" s="1">
        <v>20</v>
      </c>
      <c r="I190">
        <v>4251</v>
      </c>
      <c r="J190" s="2">
        <v>0.04</v>
      </c>
      <c r="K190" s="1">
        <v>85020</v>
      </c>
      <c r="L190" s="1">
        <v>3400.8</v>
      </c>
      <c r="M190" s="1">
        <v>81619.199999999997</v>
      </c>
      <c r="N190" s="1">
        <v>42510</v>
      </c>
      <c r="O190" s="1">
        <v>39109.199999999997</v>
      </c>
      <c r="P190">
        <v>1</v>
      </c>
      <c r="Q190">
        <v>1</v>
      </c>
      <c r="R190">
        <v>2014</v>
      </c>
      <c r="S190" s="3">
        <v>41640</v>
      </c>
      <c r="T190" t="str">
        <f t="shared" si="2"/>
        <v>Low Discount</v>
      </c>
    </row>
    <row r="191" spans="1:20" x14ac:dyDescent="0.25">
      <c r="A191" t="s">
        <v>182</v>
      </c>
      <c r="B191" t="s">
        <v>26</v>
      </c>
      <c r="C191" t="s">
        <v>27</v>
      </c>
      <c r="D191" t="s">
        <v>46</v>
      </c>
      <c r="E191" t="s">
        <v>47</v>
      </c>
      <c r="F191" t="s">
        <v>57</v>
      </c>
      <c r="G191" s="1">
        <v>10</v>
      </c>
      <c r="H191" s="1">
        <v>20</v>
      </c>
      <c r="I191">
        <v>795</v>
      </c>
      <c r="J191" s="2">
        <v>0.04</v>
      </c>
      <c r="K191" s="1">
        <v>15900</v>
      </c>
      <c r="L191" s="1">
        <v>636</v>
      </c>
      <c r="M191" s="1">
        <v>15264</v>
      </c>
      <c r="N191" s="1">
        <v>7950</v>
      </c>
      <c r="O191" s="1">
        <v>7314</v>
      </c>
      <c r="P191">
        <v>1</v>
      </c>
      <c r="Q191">
        <v>3</v>
      </c>
      <c r="R191">
        <v>2014</v>
      </c>
      <c r="S191" s="3">
        <v>41699</v>
      </c>
      <c r="T191" t="str">
        <f t="shared" si="2"/>
        <v>Low Discount</v>
      </c>
    </row>
    <row r="192" spans="1:20" x14ac:dyDescent="0.25">
      <c r="A192" t="s">
        <v>183</v>
      </c>
      <c r="B192" t="s">
        <v>26</v>
      </c>
      <c r="C192" t="s">
        <v>27</v>
      </c>
      <c r="D192" t="s">
        <v>49</v>
      </c>
      <c r="E192" t="s">
        <v>50</v>
      </c>
      <c r="F192" t="s">
        <v>57</v>
      </c>
      <c r="G192" s="1">
        <v>10</v>
      </c>
      <c r="H192" s="1">
        <v>20</v>
      </c>
      <c r="I192">
        <v>1414</v>
      </c>
      <c r="J192" s="2">
        <v>4.0014144271570011E-2</v>
      </c>
      <c r="K192" s="1">
        <v>28280</v>
      </c>
      <c r="L192" s="1">
        <v>1131.5999999999999</v>
      </c>
      <c r="M192" s="1">
        <v>27148.400000000001</v>
      </c>
      <c r="N192" s="1">
        <v>14140</v>
      </c>
      <c r="O192" s="1">
        <v>13008.400000000001</v>
      </c>
      <c r="P192">
        <v>1</v>
      </c>
      <c r="Q192">
        <v>4</v>
      </c>
      <c r="R192">
        <v>2014</v>
      </c>
      <c r="S192" s="3">
        <v>41730</v>
      </c>
      <c r="T192" t="str">
        <f t="shared" si="2"/>
        <v>Low Discount</v>
      </c>
    </row>
    <row r="193" spans="1:20" x14ac:dyDescent="0.25">
      <c r="A193" t="s">
        <v>184</v>
      </c>
      <c r="B193" t="s">
        <v>54</v>
      </c>
      <c r="C193" t="s">
        <v>55</v>
      </c>
      <c r="D193" t="s">
        <v>49</v>
      </c>
      <c r="E193" t="s">
        <v>50</v>
      </c>
      <c r="F193" t="s">
        <v>57</v>
      </c>
      <c r="G193" s="1">
        <v>10</v>
      </c>
      <c r="H193" s="1">
        <v>20</v>
      </c>
      <c r="I193">
        <v>2918</v>
      </c>
      <c r="J193" s="2">
        <v>0.04</v>
      </c>
      <c r="K193" s="1">
        <v>58360</v>
      </c>
      <c r="L193" s="1">
        <v>2334.4</v>
      </c>
      <c r="M193" s="1">
        <v>56025.599999999999</v>
      </c>
      <c r="N193" s="1">
        <v>29180</v>
      </c>
      <c r="O193" s="1">
        <v>26845.599999999999</v>
      </c>
      <c r="P193">
        <v>1</v>
      </c>
      <c r="Q193">
        <v>5</v>
      </c>
      <c r="R193">
        <v>2014</v>
      </c>
      <c r="S193" s="3">
        <v>41760</v>
      </c>
      <c r="T193" t="str">
        <f t="shared" si="2"/>
        <v>Low Discount</v>
      </c>
    </row>
    <row r="194" spans="1:20" x14ac:dyDescent="0.25">
      <c r="A194" t="s">
        <v>93</v>
      </c>
      <c r="B194" t="s">
        <v>54</v>
      </c>
      <c r="C194" t="s">
        <v>55</v>
      </c>
      <c r="D194" t="s">
        <v>22</v>
      </c>
      <c r="E194" t="s">
        <v>23</v>
      </c>
      <c r="F194" t="s">
        <v>57</v>
      </c>
      <c r="G194" s="1">
        <v>10</v>
      </c>
      <c r="H194" s="1">
        <v>20</v>
      </c>
      <c r="I194">
        <v>3450</v>
      </c>
      <c r="J194" s="2">
        <v>0.04</v>
      </c>
      <c r="K194" s="1">
        <v>69000</v>
      </c>
      <c r="L194" s="1">
        <v>2760</v>
      </c>
      <c r="M194" s="1">
        <v>66240</v>
      </c>
      <c r="N194" s="1">
        <v>34500</v>
      </c>
      <c r="O194" s="1">
        <v>31740</v>
      </c>
      <c r="P194">
        <v>1</v>
      </c>
      <c r="Q194">
        <v>7</v>
      </c>
      <c r="R194">
        <v>2014</v>
      </c>
      <c r="S194" s="3">
        <v>41821</v>
      </c>
      <c r="T194" t="str">
        <f t="shared" ref="T194:T257" si="3">_xlfn.IFS(J194=0%,"No Discount",J194&lt;=3%,"Very Low Discount",J194&lt;=6%,"Low Discount",J194&lt;=9%,"Mid Discount",J194&lt;=12%,"High Discount",J194&lt;=15%,"Very High Discount")</f>
        <v>Low Discount</v>
      </c>
    </row>
    <row r="195" spans="1:20" x14ac:dyDescent="0.25">
      <c r="A195" t="s">
        <v>185</v>
      </c>
      <c r="B195" t="s">
        <v>29</v>
      </c>
      <c r="C195" t="s">
        <v>30</v>
      </c>
      <c r="D195" t="s">
        <v>46</v>
      </c>
      <c r="E195" t="s">
        <v>47</v>
      </c>
      <c r="F195" t="s">
        <v>57</v>
      </c>
      <c r="G195" s="1">
        <v>10</v>
      </c>
      <c r="H195" s="1">
        <v>20</v>
      </c>
      <c r="I195">
        <v>2988</v>
      </c>
      <c r="J195" s="2">
        <v>0.04</v>
      </c>
      <c r="K195" s="1">
        <v>59760</v>
      </c>
      <c r="L195" s="1">
        <v>2390.4</v>
      </c>
      <c r="M195" s="1">
        <v>57369.599999999999</v>
      </c>
      <c r="N195" s="1">
        <v>29880</v>
      </c>
      <c r="O195" s="1">
        <v>27489.599999999999</v>
      </c>
      <c r="P195">
        <v>1</v>
      </c>
      <c r="Q195">
        <v>7</v>
      </c>
      <c r="R195">
        <v>2014</v>
      </c>
      <c r="S195" s="3">
        <v>41821</v>
      </c>
      <c r="T195" t="str">
        <f t="shared" si="3"/>
        <v>Low Discount</v>
      </c>
    </row>
    <row r="196" spans="1:20" x14ac:dyDescent="0.25">
      <c r="A196" t="s">
        <v>186</v>
      </c>
      <c r="B196" t="s">
        <v>20</v>
      </c>
      <c r="C196" t="s">
        <v>21</v>
      </c>
      <c r="D196" t="s">
        <v>31</v>
      </c>
      <c r="E196" t="s">
        <v>32</v>
      </c>
      <c r="F196" t="s">
        <v>57</v>
      </c>
      <c r="G196" s="1">
        <v>10</v>
      </c>
      <c r="H196" s="1">
        <v>20</v>
      </c>
      <c r="I196">
        <v>218</v>
      </c>
      <c r="J196" s="2">
        <v>0.04</v>
      </c>
      <c r="K196" s="1">
        <v>4360</v>
      </c>
      <c r="L196" s="1">
        <v>174.4</v>
      </c>
      <c r="M196" s="1">
        <v>4185.6000000000004</v>
      </c>
      <c r="N196" s="1">
        <v>2180</v>
      </c>
      <c r="O196" s="1">
        <v>2005.6000000000004</v>
      </c>
      <c r="P196">
        <v>1</v>
      </c>
      <c r="Q196">
        <v>9</v>
      </c>
      <c r="R196">
        <v>2014</v>
      </c>
      <c r="S196" s="3">
        <v>41883</v>
      </c>
      <c r="T196" t="str">
        <f t="shared" si="3"/>
        <v>Low Discount</v>
      </c>
    </row>
    <row r="197" spans="1:20" x14ac:dyDescent="0.25">
      <c r="A197" t="s">
        <v>187</v>
      </c>
      <c r="B197" t="s">
        <v>20</v>
      </c>
      <c r="C197" t="s">
        <v>21</v>
      </c>
      <c r="D197" t="s">
        <v>22</v>
      </c>
      <c r="E197" t="s">
        <v>23</v>
      </c>
      <c r="F197" t="s">
        <v>57</v>
      </c>
      <c r="G197" s="1">
        <v>10</v>
      </c>
      <c r="H197" s="1">
        <v>20</v>
      </c>
      <c r="I197">
        <v>2074</v>
      </c>
      <c r="J197" s="2">
        <v>0.04</v>
      </c>
      <c r="K197" s="1">
        <v>41480</v>
      </c>
      <c r="L197" s="1">
        <v>1659.2</v>
      </c>
      <c r="M197" s="1">
        <v>39820.800000000003</v>
      </c>
      <c r="N197" s="1">
        <v>20740</v>
      </c>
      <c r="O197" s="1">
        <v>19080.800000000003</v>
      </c>
      <c r="P197">
        <v>1</v>
      </c>
      <c r="Q197">
        <v>9</v>
      </c>
      <c r="R197">
        <v>2014</v>
      </c>
      <c r="S197" s="3">
        <v>41883</v>
      </c>
      <c r="T197" t="str">
        <f t="shared" si="3"/>
        <v>Low Discount</v>
      </c>
    </row>
    <row r="198" spans="1:20" x14ac:dyDescent="0.25">
      <c r="A198" t="s">
        <v>188</v>
      </c>
      <c r="B198" t="s">
        <v>54</v>
      </c>
      <c r="C198" t="s">
        <v>55</v>
      </c>
      <c r="D198" t="s">
        <v>22</v>
      </c>
      <c r="E198" t="s">
        <v>23</v>
      </c>
      <c r="F198" t="s">
        <v>57</v>
      </c>
      <c r="G198" s="1">
        <v>10</v>
      </c>
      <c r="H198" s="1">
        <v>20</v>
      </c>
      <c r="I198">
        <v>1056</v>
      </c>
      <c r="J198" s="2">
        <v>0.04</v>
      </c>
      <c r="K198" s="1">
        <v>21120</v>
      </c>
      <c r="L198" s="1">
        <v>844.80000000000007</v>
      </c>
      <c r="M198" s="1">
        <v>20275.2</v>
      </c>
      <c r="N198" s="1">
        <v>10560</v>
      </c>
      <c r="O198" s="1">
        <v>9715.2000000000007</v>
      </c>
      <c r="P198">
        <v>1</v>
      </c>
      <c r="Q198">
        <v>9</v>
      </c>
      <c r="R198">
        <v>2014</v>
      </c>
      <c r="S198" s="3">
        <v>41883</v>
      </c>
      <c r="T198" t="str">
        <f t="shared" si="3"/>
        <v>Low Discount</v>
      </c>
    </row>
    <row r="199" spans="1:20" x14ac:dyDescent="0.25">
      <c r="A199" t="s">
        <v>189</v>
      </c>
      <c r="B199" t="s">
        <v>54</v>
      </c>
      <c r="C199" t="s">
        <v>55</v>
      </c>
      <c r="D199" t="s">
        <v>31</v>
      </c>
      <c r="E199" t="s">
        <v>32</v>
      </c>
      <c r="F199" t="s">
        <v>57</v>
      </c>
      <c r="G199" s="1">
        <v>10</v>
      </c>
      <c r="H199" s="1">
        <v>20</v>
      </c>
      <c r="I199">
        <v>671</v>
      </c>
      <c r="J199" s="2">
        <v>0.04</v>
      </c>
      <c r="K199" s="1">
        <v>13420</v>
      </c>
      <c r="L199" s="1">
        <v>536.79999999999995</v>
      </c>
      <c r="M199" s="1">
        <v>12883.2</v>
      </c>
      <c r="N199" s="1">
        <v>6710</v>
      </c>
      <c r="O199" s="1">
        <v>6173.2000000000007</v>
      </c>
      <c r="P199">
        <v>1</v>
      </c>
      <c r="Q199">
        <v>10</v>
      </c>
      <c r="R199">
        <v>2013</v>
      </c>
      <c r="S199" s="3">
        <v>41548</v>
      </c>
      <c r="T199" t="str">
        <f t="shared" si="3"/>
        <v>Low Discount</v>
      </c>
    </row>
    <row r="200" spans="1:20" x14ac:dyDescent="0.25">
      <c r="A200" t="s">
        <v>190</v>
      </c>
      <c r="B200" t="s">
        <v>35</v>
      </c>
      <c r="C200" t="s">
        <v>36</v>
      </c>
      <c r="D200" t="s">
        <v>31</v>
      </c>
      <c r="E200" t="s">
        <v>32</v>
      </c>
      <c r="F200" t="s">
        <v>57</v>
      </c>
      <c r="G200" s="1">
        <v>10</v>
      </c>
      <c r="H200" s="1">
        <v>20</v>
      </c>
      <c r="I200">
        <v>1514</v>
      </c>
      <c r="J200" s="2">
        <v>0.04</v>
      </c>
      <c r="K200" s="1">
        <v>30280</v>
      </c>
      <c r="L200" s="1">
        <v>1211.2</v>
      </c>
      <c r="M200" s="1">
        <v>29068.799999999999</v>
      </c>
      <c r="N200" s="1">
        <v>15140</v>
      </c>
      <c r="O200" s="1">
        <v>13928.8</v>
      </c>
      <c r="P200">
        <v>1</v>
      </c>
      <c r="Q200">
        <v>10</v>
      </c>
      <c r="R200">
        <v>2013</v>
      </c>
      <c r="S200" s="3">
        <v>41548</v>
      </c>
      <c r="T200" t="str">
        <f t="shared" si="3"/>
        <v>Low Discount</v>
      </c>
    </row>
    <row r="201" spans="1:20" x14ac:dyDescent="0.25">
      <c r="A201" t="s">
        <v>178</v>
      </c>
      <c r="B201" t="s">
        <v>54</v>
      </c>
      <c r="C201" t="s">
        <v>55</v>
      </c>
      <c r="D201" t="s">
        <v>22</v>
      </c>
      <c r="E201" t="s">
        <v>23</v>
      </c>
      <c r="F201" t="s">
        <v>57</v>
      </c>
      <c r="G201" s="1">
        <v>10</v>
      </c>
      <c r="H201" s="1">
        <v>20</v>
      </c>
      <c r="I201">
        <v>274</v>
      </c>
      <c r="J201" s="2">
        <v>0.04</v>
      </c>
      <c r="K201" s="1">
        <v>5480</v>
      </c>
      <c r="L201" s="1">
        <v>219.20000000000002</v>
      </c>
      <c r="M201" s="1">
        <v>5260.8</v>
      </c>
      <c r="N201" s="1">
        <v>2740</v>
      </c>
      <c r="O201" s="1">
        <v>2520.8000000000002</v>
      </c>
      <c r="P201">
        <v>1</v>
      </c>
      <c r="Q201">
        <v>12</v>
      </c>
      <c r="R201">
        <v>2014</v>
      </c>
      <c r="S201" s="3">
        <v>41974</v>
      </c>
      <c r="T201" t="str">
        <f t="shared" si="3"/>
        <v>Low Discount</v>
      </c>
    </row>
    <row r="202" spans="1:20" x14ac:dyDescent="0.25">
      <c r="A202" t="s">
        <v>181</v>
      </c>
      <c r="B202" t="s">
        <v>35</v>
      </c>
      <c r="C202" t="s">
        <v>36</v>
      </c>
      <c r="D202" t="s">
        <v>46</v>
      </c>
      <c r="E202" t="s">
        <v>47</v>
      </c>
      <c r="F202" t="s">
        <v>57</v>
      </c>
      <c r="G202" s="1">
        <v>10</v>
      </c>
      <c r="H202" s="1">
        <v>20</v>
      </c>
      <c r="I202">
        <v>1138</v>
      </c>
      <c r="J202" s="2">
        <v>0.04</v>
      </c>
      <c r="K202" s="1">
        <v>22760</v>
      </c>
      <c r="L202" s="1">
        <v>910.4</v>
      </c>
      <c r="M202" s="1">
        <v>21849.599999999999</v>
      </c>
      <c r="N202" s="1">
        <v>11380</v>
      </c>
      <c r="O202" s="1">
        <v>10469.599999999999</v>
      </c>
      <c r="P202">
        <v>1</v>
      </c>
      <c r="Q202">
        <v>12</v>
      </c>
      <c r="R202">
        <v>2014</v>
      </c>
      <c r="S202" s="3">
        <v>41974</v>
      </c>
      <c r="T202" t="str">
        <f t="shared" si="3"/>
        <v>Low Discount</v>
      </c>
    </row>
    <row r="203" spans="1:20" x14ac:dyDescent="0.25">
      <c r="A203" t="s">
        <v>191</v>
      </c>
      <c r="B203" t="s">
        <v>54</v>
      </c>
      <c r="C203" t="s">
        <v>55</v>
      </c>
      <c r="D203" t="s">
        <v>41</v>
      </c>
      <c r="E203" t="s">
        <v>42</v>
      </c>
      <c r="F203" t="s">
        <v>71</v>
      </c>
      <c r="G203" s="1">
        <v>120</v>
      </c>
      <c r="H203" s="1">
        <v>180</v>
      </c>
      <c r="I203">
        <v>1465</v>
      </c>
      <c r="J203" s="2">
        <v>0.04</v>
      </c>
      <c r="K203" s="1">
        <v>263700</v>
      </c>
      <c r="L203" s="1">
        <v>10548</v>
      </c>
      <c r="M203" s="1">
        <v>253152</v>
      </c>
      <c r="N203" s="1">
        <v>175800</v>
      </c>
      <c r="O203" s="1">
        <v>77352</v>
      </c>
      <c r="P203">
        <v>1</v>
      </c>
      <c r="Q203">
        <v>3</v>
      </c>
      <c r="R203">
        <v>2014</v>
      </c>
      <c r="S203" s="3">
        <v>41699</v>
      </c>
      <c r="T203" t="str">
        <f t="shared" si="3"/>
        <v>Low Discount</v>
      </c>
    </row>
    <row r="204" spans="1:20" x14ac:dyDescent="0.25">
      <c r="A204" t="s">
        <v>192</v>
      </c>
      <c r="B204" t="s">
        <v>20</v>
      </c>
      <c r="C204" t="s">
        <v>21</v>
      </c>
      <c r="D204" t="s">
        <v>22</v>
      </c>
      <c r="E204" t="s">
        <v>23</v>
      </c>
      <c r="F204" t="s">
        <v>71</v>
      </c>
      <c r="G204" s="1">
        <v>120</v>
      </c>
      <c r="H204" s="1">
        <v>180</v>
      </c>
      <c r="I204">
        <v>2646</v>
      </c>
      <c r="J204" s="2">
        <v>0.04</v>
      </c>
      <c r="K204" s="1">
        <v>476280</v>
      </c>
      <c r="L204" s="1">
        <v>19051.2</v>
      </c>
      <c r="M204" s="1">
        <v>457228.79999999999</v>
      </c>
      <c r="N204" s="1">
        <v>317520</v>
      </c>
      <c r="O204" s="1">
        <v>139708.79999999999</v>
      </c>
      <c r="P204">
        <v>1</v>
      </c>
      <c r="Q204">
        <v>9</v>
      </c>
      <c r="R204">
        <v>2013</v>
      </c>
      <c r="S204" s="3">
        <v>41518</v>
      </c>
      <c r="T204" t="str">
        <f t="shared" si="3"/>
        <v>Low Discount</v>
      </c>
    </row>
    <row r="205" spans="1:20" x14ac:dyDescent="0.25">
      <c r="A205" t="s">
        <v>193</v>
      </c>
      <c r="B205" t="s">
        <v>29</v>
      </c>
      <c r="C205" t="s">
        <v>30</v>
      </c>
      <c r="D205" t="s">
        <v>22</v>
      </c>
      <c r="E205" t="s">
        <v>23</v>
      </c>
      <c r="F205" t="s">
        <v>71</v>
      </c>
      <c r="G205" s="1">
        <v>120</v>
      </c>
      <c r="H205" s="1">
        <v>180</v>
      </c>
      <c r="I205">
        <v>2177</v>
      </c>
      <c r="J205" s="2">
        <v>0.04</v>
      </c>
      <c r="K205" s="1">
        <v>391860</v>
      </c>
      <c r="L205" s="1">
        <v>15674.4</v>
      </c>
      <c r="M205" s="1">
        <v>376185.59999999998</v>
      </c>
      <c r="N205" s="1">
        <v>261240</v>
      </c>
      <c r="O205" s="1">
        <v>114945.59999999998</v>
      </c>
      <c r="P205">
        <v>1</v>
      </c>
      <c r="Q205">
        <v>10</v>
      </c>
      <c r="R205">
        <v>2014</v>
      </c>
      <c r="S205" s="3">
        <v>41913</v>
      </c>
      <c r="T205" t="str">
        <f t="shared" si="3"/>
        <v>Low Discount</v>
      </c>
    </row>
    <row r="206" spans="1:20" x14ac:dyDescent="0.25">
      <c r="A206" t="s">
        <v>194</v>
      </c>
      <c r="B206" t="s">
        <v>29</v>
      </c>
      <c r="C206" t="s">
        <v>30</v>
      </c>
      <c r="D206" t="s">
        <v>41</v>
      </c>
      <c r="E206" t="s">
        <v>42</v>
      </c>
      <c r="F206" t="s">
        <v>76</v>
      </c>
      <c r="G206" s="1">
        <v>250</v>
      </c>
      <c r="H206" s="1">
        <v>300</v>
      </c>
      <c r="I206">
        <v>866</v>
      </c>
      <c r="J206" s="2">
        <v>0.04</v>
      </c>
      <c r="K206" s="1">
        <v>259800</v>
      </c>
      <c r="L206" s="1">
        <v>10392</v>
      </c>
      <c r="M206" s="1">
        <v>249408</v>
      </c>
      <c r="N206" s="1">
        <v>216500</v>
      </c>
      <c r="O206" s="1">
        <v>32908</v>
      </c>
      <c r="P206">
        <v>1</v>
      </c>
      <c r="Q206">
        <v>5</v>
      </c>
      <c r="R206">
        <v>2014</v>
      </c>
      <c r="S206" s="3">
        <v>41760</v>
      </c>
      <c r="T206" t="str">
        <f t="shared" si="3"/>
        <v>Low Discount</v>
      </c>
    </row>
    <row r="207" spans="1:20" x14ac:dyDescent="0.25">
      <c r="A207" t="s">
        <v>175</v>
      </c>
      <c r="B207" t="s">
        <v>54</v>
      </c>
      <c r="C207" t="s">
        <v>55</v>
      </c>
      <c r="D207" t="s">
        <v>22</v>
      </c>
      <c r="E207" t="s">
        <v>23</v>
      </c>
      <c r="F207" t="s">
        <v>76</v>
      </c>
      <c r="G207" s="1">
        <v>250</v>
      </c>
      <c r="H207" s="1">
        <v>300</v>
      </c>
      <c r="I207">
        <v>349</v>
      </c>
      <c r="J207" s="2">
        <v>0.04</v>
      </c>
      <c r="K207" s="1">
        <v>104700</v>
      </c>
      <c r="L207" s="1">
        <v>4188</v>
      </c>
      <c r="M207" s="1">
        <v>100512</v>
      </c>
      <c r="N207" s="1">
        <v>87250</v>
      </c>
      <c r="O207" s="1">
        <v>13262</v>
      </c>
      <c r="P207">
        <v>1</v>
      </c>
      <c r="Q207">
        <v>9</v>
      </c>
      <c r="R207">
        <v>2013</v>
      </c>
      <c r="S207" s="3">
        <v>41518</v>
      </c>
      <c r="T207" t="str">
        <f t="shared" si="3"/>
        <v>Low Discount</v>
      </c>
    </row>
    <row r="208" spans="1:20" x14ac:dyDescent="0.25">
      <c r="A208" t="s">
        <v>193</v>
      </c>
      <c r="B208" t="s">
        <v>29</v>
      </c>
      <c r="C208" t="s">
        <v>30</v>
      </c>
      <c r="D208" t="s">
        <v>22</v>
      </c>
      <c r="E208" t="s">
        <v>23</v>
      </c>
      <c r="F208" t="s">
        <v>76</v>
      </c>
      <c r="G208" s="1">
        <v>250</v>
      </c>
      <c r="H208" s="1">
        <v>300</v>
      </c>
      <c r="I208">
        <v>2177</v>
      </c>
      <c r="J208" s="2">
        <v>0.04</v>
      </c>
      <c r="K208" s="1">
        <v>653100</v>
      </c>
      <c r="L208" s="1">
        <v>26124</v>
      </c>
      <c r="M208" s="1">
        <v>626976</v>
      </c>
      <c r="N208" s="1">
        <v>544250</v>
      </c>
      <c r="O208" s="1">
        <v>82726</v>
      </c>
      <c r="P208">
        <v>1</v>
      </c>
      <c r="Q208">
        <v>10</v>
      </c>
      <c r="R208">
        <v>2014</v>
      </c>
      <c r="S208" s="3">
        <v>41913</v>
      </c>
      <c r="T208" t="str">
        <f t="shared" si="3"/>
        <v>Low Discount</v>
      </c>
    </row>
    <row r="209" spans="1:20" x14ac:dyDescent="0.25">
      <c r="A209" t="s">
        <v>190</v>
      </c>
      <c r="B209" t="s">
        <v>35</v>
      </c>
      <c r="C209" t="s">
        <v>36</v>
      </c>
      <c r="D209" t="s">
        <v>31</v>
      </c>
      <c r="E209" t="s">
        <v>32</v>
      </c>
      <c r="F209" t="s">
        <v>76</v>
      </c>
      <c r="G209" s="1">
        <v>250</v>
      </c>
      <c r="H209" s="1">
        <v>300</v>
      </c>
      <c r="I209">
        <v>1514</v>
      </c>
      <c r="J209" s="2">
        <v>0.04</v>
      </c>
      <c r="K209" s="1">
        <v>454200</v>
      </c>
      <c r="L209" s="1">
        <v>18168</v>
      </c>
      <c r="M209" s="1">
        <v>436032</v>
      </c>
      <c r="N209" s="1">
        <v>378500</v>
      </c>
      <c r="O209" s="1">
        <v>57532</v>
      </c>
      <c r="P209">
        <v>1</v>
      </c>
      <c r="Q209">
        <v>10</v>
      </c>
      <c r="R209">
        <v>2013</v>
      </c>
      <c r="S209" s="3">
        <v>41548</v>
      </c>
      <c r="T209" t="str">
        <f t="shared" si="3"/>
        <v>Low Discount</v>
      </c>
    </row>
    <row r="210" spans="1:20" x14ac:dyDescent="0.25">
      <c r="A210" t="s">
        <v>195</v>
      </c>
      <c r="B210" t="s">
        <v>35</v>
      </c>
      <c r="C210" t="s">
        <v>36</v>
      </c>
      <c r="D210" t="s">
        <v>22</v>
      </c>
      <c r="E210" t="s">
        <v>23</v>
      </c>
      <c r="F210" t="s">
        <v>81</v>
      </c>
      <c r="G210" s="1">
        <v>200</v>
      </c>
      <c r="H210" s="1">
        <v>350</v>
      </c>
      <c r="I210">
        <v>1865</v>
      </c>
      <c r="J210" s="2">
        <v>0.04</v>
      </c>
      <c r="K210" s="1">
        <v>652750</v>
      </c>
      <c r="L210" s="1">
        <v>26110</v>
      </c>
      <c r="M210" s="1">
        <v>626640</v>
      </c>
      <c r="N210" s="1">
        <v>373000</v>
      </c>
      <c r="O210" s="1">
        <v>253640</v>
      </c>
      <c r="P210">
        <v>1</v>
      </c>
      <c r="Q210">
        <v>2</v>
      </c>
      <c r="R210">
        <v>2014</v>
      </c>
      <c r="S210" s="3">
        <v>41671</v>
      </c>
      <c r="T210" t="str">
        <f t="shared" si="3"/>
        <v>Low Discount</v>
      </c>
    </row>
    <row r="211" spans="1:20" x14ac:dyDescent="0.25">
      <c r="A211" t="s">
        <v>196</v>
      </c>
      <c r="B211" t="s">
        <v>35</v>
      </c>
      <c r="C211" t="s">
        <v>36</v>
      </c>
      <c r="D211" t="s">
        <v>46</v>
      </c>
      <c r="E211" t="s">
        <v>47</v>
      </c>
      <c r="F211" t="s">
        <v>81</v>
      </c>
      <c r="G211" s="1">
        <v>200</v>
      </c>
      <c r="H211" s="1">
        <v>350</v>
      </c>
      <c r="I211">
        <v>1074</v>
      </c>
      <c r="J211" s="2">
        <v>0.04</v>
      </c>
      <c r="K211" s="1">
        <v>375900</v>
      </c>
      <c r="L211" s="1">
        <v>15036</v>
      </c>
      <c r="M211" s="1">
        <v>360864</v>
      </c>
      <c r="N211" s="1">
        <v>214800</v>
      </c>
      <c r="O211" s="1">
        <v>146064</v>
      </c>
      <c r="P211">
        <v>1</v>
      </c>
      <c r="Q211">
        <v>4</v>
      </c>
      <c r="R211">
        <v>2014</v>
      </c>
      <c r="S211" s="3">
        <v>41730</v>
      </c>
      <c r="T211" t="str">
        <f t="shared" si="3"/>
        <v>Low Discount</v>
      </c>
    </row>
    <row r="212" spans="1:20" x14ac:dyDescent="0.25">
      <c r="A212" t="s">
        <v>51</v>
      </c>
      <c r="B212" t="s">
        <v>26</v>
      </c>
      <c r="C212" t="s">
        <v>27</v>
      </c>
      <c r="D212" t="s">
        <v>22</v>
      </c>
      <c r="E212" t="s">
        <v>23</v>
      </c>
      <c r="F212" t="s">
        <v>81</v>
      </c>
      <c r="G212" s="1">
        <v>200</v>
      </c>
      <c r="H212" s="1">
        <v>350</v>
      </c>
      <c r="I212">
        <v>1907</v>
      </c>
      <c r="J212" s="2">
        <v>0.04</v>
      </c>
      <c r="K212" s="1">
        <v>667450</v>
      </c>
      <c r="L212" s="1">
        <v>26698</v>
      </c>
      <c r="M212" s="1">
        <v>640752</v>
      </c>
      <c r="N212" s="1">
        <v>381400</v>
      </c>
      <c r="O212" s="1">
        <v>259352</v>
      </c>
      <c r="P212">
        <v>1</v>
      </c>
      <c r="Q212">
        <v>9</v>
      </c>
      <c r="R212">
        <v>2014</v>
      </c>
      <c r="S212" s="3">
        <v>41883</v>
      </c>
      <c r="T212" t="str">
        <f t="shared" si="3"/>
        <v>Low Discount</v>
      </c>
    </row>
    <row r="213" spans="1:20" x14ac:dyDescent="0.25">
      <c r="A213" t="s">
        <v>189</v>
      </c>
      <c r="B213" t="s">
        <v>54</v>
      </c>
      <c r="C213" t="s">
        <v>55</v>
      </c>
      <c r="D213" t="s">
        <v>31</v>
      </c>
      <c r="E213" t="s">
        <v>32</v>
      </c>
      <c r="F213" t="s">
        <v>81</v>
      </c>
      <c r="G213" s="1">
        <v>200</v>
      </c>
      <c r="H213" s="1">
        <v>350</v>
      </c>
      <c r="I213">
        <v>671</v>
      </c>
      <c r="J213" s="2">
        <v>0.04</v>
      </c>
      <c r="K213" s="1">
        <v>234850</v>
      </c>
      <c r="L213" s="1">
        <v>9394</v>
      </c>
      <c r="M213" s="1">
        <v>225456</v>
      </c>
      <c r="N213" s="1">
        <v>134200</v>
      </c>
      <c r="O213" s="1">
        <v>91256</v>
      </c>
      <c r="P213">
        <v>1</v>
      </c>
      <c r="Q213">
        <v>10</v>
      </c>
      <c r="R213">
        <v>2013</v>
      </c>
      <c r="S213" s="3">
        <v>41548</v>
      </c>
      <c r="T213" t="str">
        <f t="shared" si="3"/>
        <v>Low Discount</v>
      </c>
    </row>
    <row r="214" spans="1:20" x14ac:dyDescent="0.25">
      <c r="A214" t="s">
        <v>197</v>
      </c>
      <c r="B214" t="s">
        <v>20</v>
      </c>
      <c r="C214" t="s">
        <v>21</v>
      </c>
      <c r="D214" t="s">
        <v>22</v>
      </c>
      <c r="E214" t="s">
        <v>23</v>
      </c>
      <c r="F214" t="s">
        <v>81</v>
      </c>
      <c r="G214" s="1">
        <v>200</v>
      </c>
      <c r="H214" s="1">
        <v>350</v>
      </c>
      <c r="I214">
        <v>1778</v>
      </c>
      <c r="J214" s="2">
        <v>0.04</v>
      </c>
      <c r="K214" s="1">
        <v>622300</v>
      </c>
      <c r="L214" s="1">
        <v>24892</v>
      </c>
      <c r="M214" s="1">
        <v>597408</v>
      </c>
      <c r="N214" s="1">
        <v>355600</v>
      </c>
      <c r="O214" s="1">
        <v>241808</v>
      </c>
      <c r="P214">
        <v>1</v>
      </c>
      <c r="Q214">
        <v>12</v>
      </c>
      <c r="R214">
        <v>2013</v>
      </c>
      <c r="S214" s="3">
        <v>41609</v>
      </c>
      <c r="T214" t="str">
        <f t="shared" si="3"/>
        <v>Low Discount</v>
      </c>
    </row>
    <row r="215" spans="1:20" x14ac:dyDescent="0.25">
      <c r="A215" t="s">
        <v>143</v>
      </c>
      <c r="B215" t="s">
        <v>26</v>
      </c>
      <c r="C215" t="s">
        <v>27</v>
      </c>
      <c r="D215" t="s">
        <v>22</v>
      </c>
      <c r="E215" t="s">
        <v>23</v>
      </c>
      <c r="F215" t="s">
        <v>39</v>
      </c>
      <c r="G215" s="1">
        <v>5</v>
      </c>
      <c r="H215" s="1">
        <v>15</v>
      </c>
      <c r="I215">
        <v>1159</v>
      </c>
      <c r="J215" s="2">
        <v>4.9999999999999996E-2</v>
      </c>
      <c r="K215" s="1">
        <v>17385</v>
      </c>
      <c r="L215" s="1">
        <v>869.24999999999989</v>
      </c>
      <c r="M215" s="1">
        <v>16515.75</v>
      </c>
      <c r="N215" s="1">
        <v>5795</v>
      </c>
      <c r="O215" s="1">
        <v>10720.75</v>
      </c>
      <c r="P215">
        <v>1</v>
      </c>
      <c r="Q215">
        <v>10</v>
      </c>
      <c r="R215">
        <v>2013</v>
      </c>
      <c r="S215" s="3">
        <v>41548</v>
      </c>
      <c r="T215" t="str">
        <f t="shared" si="3"/>
        <v>Low Discount</v>
      </c>
    </row>
    <row r="216" spans="1:20" x14ac:dyDescent="0.25">
      <c r="A216" t="s">
        <v>25</v>
      </c>
      <c r="B216" t="s">
        <v>26</v>
      </c>
      <c r="C216" t="s">
        <v>27</v>
      </c>
      <c r="D216" t="s">
        <v>22</v>
      </c>
      <c r="E216" t="s">
        <v>23</v>
      </c>
      <c r="F216" t="s">
        <v>57</v>
      </c>
      <c r="G216" s="1">
        <v>10</v>
      </c>
      <c r="H216" s="1">
        <v>20</v>
      </c>
      <c r="I216">
        <v>1372</v>
      </c>
      <c r="J216" s="2">
        <v>4.9999999999999996E-2</v>
      </c>
      <c r="K216" s="1">
        <v>27440</v>
      </c>
      <c r="L216" s="1">
        <v>1371.9999999999998</v>
      </c>
      <c r="M216" s="1">
        <v>26068</v>
      </c>
      <c r="N216" s="1">
        <v>13720</v>
      </c>
      <c r="O216" s="1">
        <v>12348</v>
      </c>
      <c r="P216">
        <v>1</v>
      </c>
      <c r="Q216">
        <v>1</v>
      </c>
      <c r="R216">
        <v>2014</v>
      </c>
      <c r="S216" s="3">
        <v>41640</v>
      </c>
      <c r="T216" t="str">
        <f t="shared" si="3"/>
        <v>Low Discount</v>
      </c>
    </row>
    <row r="217" spans="1:20" x14ac:dyDescent="0.25">
      <c r="A217" t="s">
        <v>192</v>
      </c>
      <c r="B217" t="s">
        <v>20</v>
      </c>
      <c r="C217" t="s">
        <v>21</v>
      </c>
      <c r="D217" t="s">
        <v>22</v>
      </c>
      <c r="E217" t="s">
        <v>23</v>
      </c>
      <c r="F217" t="s">
        <v>57</v>
      </c>
      <c r="G217" s="1">
        <v>10</v>
      </c>
      <c r="H217" s="1">
        <v>20</v>
      </c>
      <c r="I217">
        <v>2349</v>
      </c>
      <c r="J217" s="2">
        <v>4.9999999999999996E-2</v>
      </c>
      <c r="K217" s="1">
        <v>46980</v>
      </c>
      <c r="L217" s="1">
        <v>2349</v>
      </c>
      <c r="M217" s="1">
        <v>44631</v>
      </c>
      <c r="N217" s="1">
        <v>23490</v>
      </c>
      <c r="O217" s="1">
        <v>21141</v>
      </c>
      <c r="P217">
        <v>1</v>
      </c>
      <c r="Q217">
        <v>9</v>
      </c>
      <c r="R217">
        <v>2013</v>
      </c>
      <c r="S217" s="3">
        <v>41518</v>
      </c>
      <c r="T217" t="str">
        <f t="shared" si="3"/>
        <v>Low Discount</v>
      </c>
    </row>
    <row r="218" spans="1:20" x14ac:dyDescent="0.25">
      <c r="A218" t="s">
        <v>99</v>
      </c>
      <c r="B218" t="s">
        <v>35</v>
      </c>
      <c r="C218" t="s">
        <v>36</v>
      </c>
      <c r="D218" t="s">
        <v>22</v>
      </c>
      <c r="E218" t="s">
        <v>23</v>
      </c>
      <c r="F218" t="s">
        <v>57</v>
      </c>
      <c r="G218" s="1">
        <v>10</v>
      </c>
      <c r="H218" s="1">
        <v>20</v>
      </c>
      <c r="I218">
        <v>2689</v>
      </c>
      <c r="J218" s="2">
        <v>4.9999999999999996E-2</v>
      </c>
      <c r="K218" s="1">
        <v>53780</v>
      </c>
      <c r="L218" s="1">
        <v>2689</v>
      </c>
      <c r="M218" s="1">
        <v>51091</v>
      </c>
      <c r="N218" s="1">
        <v>26890</v>
      </c>
      <c r="O218" s="1">
        <v>24201</v>
      </c>
      <c r="P218">
        <v>1</v>
      </c>
      <c r="Q218">
        <v>10</v>
      </c>
      <c r="R218">
        <v>2014</v>
      </c>
      <c r="S218" s="3">
        <v>41913</v>
      </c>
      <c r="T218" t="str">
        <f t="shared" si="3"/>
        <v>Low Discount</v>
      </c>
    </row>
    <row r="219" spans="1:20" x14ac:dyDescent="0.25">
      <c r="A219" t="s">
        <v>198</v>
      </c>
      <c r="B219" t="s">
        <v>20</v>
      </c>
      <c r="C219" t="s">
        <v>21</v>
      </c>
      <c r="D219" t="s">
        <v>41</v>
      </c>
      <c r="E219" t="s">
        <v>42</v>
      </c>
      <c r="F219" t="s">
        <v>57</v>
      </c>
      <c r="G219" s="1">
        <v>10</v>
      </c>
      <c r="H219" s="1">
        <v>20</v>
      </c>
      <c r="I219">
        <v>2431</v>
      </c>
      <c r="J219" s="2">
        <v>4.9999999999999996E-2</v>
      </c>
      <c r="K219" s="1">
        <v>48620</v>
      </c>
      <c r="L219" s="1">
        <v>2431</v>
      </c>
      <c r="M219" s="1">
        <v>46189</v>
      </c>
      <c r="N219" s="1">
        <v>24310</v>
      </c>
      <c r="O219" s="1">
        <v>21879</v>
      </c>
      <c r="P219">
        <v>1</v>
      </c>
      <c r="Q219">
        <v>12</v>
      </c>
      <c r="R219">
        <v>2014</v>
      </c>
      <c r="S219" s="3">
        <v>41974</v>
      </c>
      <c r="T219" t="str">
        <f t="shared" si="3"/>
        <v>Low Discount</v>
      </c>
    </row>
    <row r="220" spans="1:20" x14ac:dyDescent="0.25">
      <c r="A220" t="s">
        <v>198</v>
      </c>
      <c r="B220" t="s">
        <v>20</v>
      </c>
      <c r="C220" t="s">
        <v>21</v>
      </c>
      <c r="D220" t="s">
        <v>41</v>
      </c>
      <c r="E220" t="s">
        <v>42</v>
      </c>
      <c r="F220" t="s">
        <v>71</v>
      </c>
      <c r="G220" s="1">
        <v>120</v>
      </c>
      <c r="H220" s="1">
        <v>180</v>
      </c>
      <c r="I220">
        <v>2431</v>
      </c>
      <c r="J220" s="2">
        <v>4.9999999999999996E-2</v>
      </c>
      <c r="K220" s="1">
        <v>437580</v>
      </c>
      <c r="L220" s="1">
        <v>21878.999999999996</v>
      </c>
      <c r="M220" s="1">
        <v>415701</v>
      </c>
      <c r="N220" s="1">
        <v>291720</v>
      </c>
      <c r="O220" s="1">
        <v>123981</v>
      </c>
      <c r="P220">
        <v>1</v>
      </c>
      <c r="Q220">
        <v>12</v>
      </c>
      <c r="R220">
        <v>2014</v>
      </c>
      <c r="S220" s="3">
        <v>41974</v>
      </c>
      <c r="T220" t="str">
        <f t="shared" si="3"/>
        <v>Low Discount</v>
      </c>
    </row>
    <row r="221" spans="1:20" x14ac:dyDescent="0.25">
      <c r="A221" t="s">
        <v>99</v>
      </c>
      <c r="B221" t="s">
        <v>35</v>
      </c>
      <c r="C221" t="s">
        <v>36</v>
      </c>
      <c r="D221" t="s">
        <v>22</v>
      </c>
      <c r="E221" t="s">
        <v>23</v>
      </c>
      <c r="F221" t="s">
        <v>76</v>
      </c>
      <c r="G221" s="1">
        <v>250</v>
      </c>
      <c r="H221" s="1">
        <v>300</v>
      </c>
      <c r="I221">
        <v>2689</v>
      </c>
      <c r="J221" s="2">
        <v>4.9999999999999996E-2</v>
      </c>
      <c r="K221" s="1">
        <v>806700</v>
      </c>
      <c r="L221" s="1">
        <v>40335</v>
      </c>
      <c r="M221" s="1">
        <v>766365</v>
      </c>
      <c r="N221" s="1">
        <v>672250</v>
      </c>
      <c r="O221" s="1">
        <v>94115</v>
      </c>
      <c r="P221">
        <v>1</v>
      </c>
      <c r="Q221">
        <v>10</v>
      </c>
      <c r="R221">
        <v>2014</v>
      </c>
      <c r="S221" s="3">
        <v>41913</v>
      </c>
      <c r="T221" t="str">
        <f t="shared" si="3"/>
        <v>Low Discount</v>
      </c>
    </row>
    <row r="222" spans="1:20" x14ac:dyDescent="0.25">
      <c r="A222" t="s">
        <v>199</v>
      </c>
      <c r="B222" t="s">
        <v>35</v>
      </c>
      <c r="C222" t="s">
        <v>36</v>
      </c>
      <c r="D222" t="s">
        <v>22</v>
      </c>
      <c r="E222" t="s">
        <v>23</v>
      </c>
      <c r="F222" t="s">
        <v>81</v>
      </c>
      <c r="G222" s="1">
        <v>200</v>
      </c>
      <c r="H222" s="1">
        <v>350</v>
      </c>
      <c r="I222">
        <v>1683</v>
      </c>
      <c r="J222" s="2">
        <v>4.9999999999999996E-2</v>
      </c>
      <c r="K222" s="1">
        <v>589050</v>
      </c>
      <c r="L222" s="1">
        <v>29452.499999999996</v>
      </c>
      <c r="M222" s="1">
        <v>559597.5</v>
      </c>
      <c r="N222" s="1">
        <v>336600</v>
      </c>
      <c r="O222" s="1">
        <v>222997.5</v>
      </c>
      <c r="P222">
        <v>1</v>
      </c>
      <c r="Q222">
        <v>7</v>
      </c>
      <c r="R222">
        <v>2014</v>
      </c>
      <c r="S222" s="3">
        <v>41821</v>
      </c>
      <c r="T222" t="str">
        <f t="shared" si="3"/>
        <v>Low Discount</v>
      </c>
    </row>
    <row r="223" spans="1:20" x14ac:dyDescent="0.25">
      <c r="A223" t="s">
        <v>200</v>
      </c>
      <c r="B223" t="s">
        <v>35</v>
      </c>
      <c r="C223" t="s">
        <v>36</v>
      </c>
      <c r="D223" t="s">
        <v>41</v>
      </c>
      <c r="E223" t="s">
        <v>42</v>
      </c>
      <c r="F223" t="s">
        <v>81</v>
      </c>
      <c r="G223" s="1">
        <v>200</v>
      </c>
      <c r="H223" s="1">
        <v>350</v>
      </c>
      <c r="I223">
        <v>1123</v>
      </c>
      <c r="J223" s="2">
        <v>4.9999999999999996E-2</v>
      </c>
      <c r="K223" s="1">
        <v>393050</v>
      </c>
      <c r="L223" s="1">
        <v>19652.5</v>
      </c>
      <c r="M223" s="1">
        <v>373397.5</v>
      </c>
      <c r="N223" s="1">
        <v>224600</v>
      </c>
      <c r="O223" s="1">
        <v>148797.5</v>
      </c>
      <c r="P223">
        <v>1</v>
      </c>
      <c r="Q223">
        <v>8</v>
      </c>
      <c r="R223">
        <v>2014</v>
      </c>
      <c r="S223" s="3">
        <v>41852</v>
      </c>
      <c r="T223" t="str">
        <f t="shared" si="3"/>
        <v>Low Discount</v>
      </c>
    </row>
    <row r="224" spans="1:20" x14ac:dyDescent="0.25">
      <c r="A224" t="s">
        <v>143</v>
      </c>
      <c r="B224" t="s">
        <v>26</v>
      </c>
      <c r="C224" t="s">
        <v>27</v>
      </c>
      <c r="D224" t="s">
        <v>22</v>
      </c>
      <c r="E224" t="s">
        <v>23</v>
      </c>
      <c r="F224" t="s">
        <v>81</v>
      </c>
      <c r="G224" s="1">
        <v>200</v>
      </c>
      <c r="H224" s="1">
        <v>350</v>
      </c>
      <c r="I224">
        <v>1159</v>
      </c>
      <c r="J224" s="2">
        <v>4.9999999999999996E-2</v>
      </c>
      <c r="K224" s="1">
        <v>405650</v>
      </c>
      <c r="L224" s="1">
        <v>20282.5</v>
      </c>
      <c r="M224" s="1">
        <v>385367.5</v>
      </c>
      <c r="N224" s="1">
        <v>231800</v>
      </c>
      <c r="O224" s="1">
        <v>153567.5</v>
      </c>
      <c r="P224">
        <v>1</v>
      </c>
      <c r="Q224">
        <v>10</v>
      </c>
      <c r="R224">
        <v>2013</v>
      </c>
      <c r="S224" s="3">
        <v>41548</v>
      </c>
      <c r="T224" t="str">
        <f t="shared" si="3"/>
        <v>Low Discount</v>
      </c>
    </row>
    <row r="225" spans="1:20" x14ac:dyDescent="0.25">
      <c r="A225" t="s">
        <v>201</v>
      </c>
      <c r="B225" t="s">
        <v>29</v>
      </c>
      <c r="C225" t="s">
        <v>30</v>
      </c>
      <c r="D225" t="s">
        <v>41</v>
      </c>
      <c r="E225" t="s">
        <v>42</v>
      </c>
      <c r="F225" t="s">
        <v>24</v>
      </c>
      <c r="G225" s="1">
        <v>3</v>
      </c>
      <c r="H225" s="1">
        <v>20</v>
      </c>
      <c r="I225">
        <v>1865</v>
      </c>
      <c r="J225" s="2">
        <v>0.05</v>
      </c>
      <c r="K225" s="1">
        <v>37300</v>
      </c>
      <c r="L225" s="1">
        <v>1865</v>
      </c>
      <c r="M225" s="1">
        <v>35435</v>
      </c>
      <c r="N225" s="1">
        <v>5595</v>
      </c>
      <c r="O225" s="1">
        <v>29840</v>
      </c>
      <c r="P225">
        <v>1</v>
      </c>
      <c r="Q225">
        <v>2</v>
      </c>
      <c r="R225">
        <v>2014</v>
      </c>
      <c r="S225" s="3">
        <v>41671</v>
      </c>
      <c r="T225" t="str">
        <f t="shared" si="3"/>
        <v>Low Discount</v>
      </c>
    </row>
    <row r="226" spans="1:20" x14ac:dyDescent="0.25">
      <c r="A226" t="s">
        <v>202</v>
      </c>
      <c r="B226" t="s">
        <v>26</v>
      </c>
      <c r="C226" t="s">
        <v>27</v>
      </c>
      <c r="D226" t="s">
        <v>41</v>
      </c>
      <c r="E226" t="s">
        <v>42</v>
      </c>
      <c r="F226" t="s">
        <v>24</v>
      </c>
      <c r="G226" s="1">
        <v>3</v>
      </c>
      <c r="H226" s="1">
        <v>20</v>
      </c>
      <c r="I226">
        <v>1116</v>
      </c>
      <c r="J226" s="2">
        <v>0.05</v>
      </c>
      <c r="K226" s="1">
        <v>22320</v>
      </c>
      <c r="L226" s="1">
        <v>1116</v>
      </c>
      <c r="M226" s="1">
        <v>21204</v>
      </c>
      <c r="N226" s="1">
        <v>3348</v>
      </c>
      <c r="O226" s="1">
        <v>17856</v>
      </c>
      <c r="P226">
        <v>1</v>
      </c>
      <c r="Q226">
        <v>2</v>
      </c>
      <c r="R226">
        <v>2014</v>
      </c>
      <c r="S226" s="3">
        <v>41671</v>
      </c>
      <c r="T226" t="str">
        <f t="shared" si="3"/>
        <v>Low Discount</v>
      </c>
    </row>
    <row r="227" spans="1:20" x14ac:dyDescent="0.25">
      <c r="A227" t="s">
        <v>88</v>
      </c>
      <c r="B227" t="s">
        <v>29</v>
      </c>
      <c r="C227" t="s">
        <v>30</v>
      </c>
      <c r="D227" t="s">
        <v>22</v>
      </c>
      <c r="E227" t="s">
        <v>23</v>
      </c>
      <c r="F227" t="s">
        <v>24</v>
      </c>
      <c r="G227" s="1">
        <v>3</v>
      </c>
      <c r="H227" s="1">
        <v>20</v>
      </c>
      <c r="I227">
        <v>1563</v>
      </c>
      <c r="J227" s="2">
        <v>0.05</v>
      </c>
      <c r="K227" s="1">
        <v>31260</v>
      </c>
      <c r="L227" s="1">
        <v>1563</v>
      </c>
      <c r="M227" s="1">
        <v>29697</v>
      </c>
      <c r="N227" s="1">
        <v>4689</v>
      </c>
      <c r="O227" s="1">
        <v>25008</v>
      </c>
      <c r="P227">
        <v>1</v>
      </c>
      <c r="Q227">
        <v>5</v>
      </c>
      <c r="R227">
        <v>2014</v>
      </c>
      <c r="S227" s="3">
        <v>41760</v>
      </c>
      <c r="T227" t="str">
        <f t="shared" si="3"/>
        <v>Low Discount</v>
      </c>
    </row>
    <row r="228" spans="1:20" x14ac:dyDescent="0.25">
      <c r="A228" t="s">
        <v>203</v>
      </c>
      <c r="B228" t="s">
        <v>54</v>
      </c>
      <c r="C228" t="s">
        <v>55</v>
      </c>
      <c r="D228" t="s">
        <v>49</v>
      </c>
      <c r="E228" t="s">
        <v>50</v>
      </c>
      <c r="F228" t="s">
        <v>24</v>
      </c>
      <c r="G228" s="1">
        <v>3</v>
      </c>
      <c r="H228" s="1">
        <v>20</v>
      </c>
      <c r="I228">
        <v>991</v>
      </c>
      <c r="J228" s="2">
        <v>0.05</v>
      </c>
      <c r="K228" s="1">
        <v>19820</v>
      </c>
      <c r="L228" s="1">
        <v>991</v>
      </c>
      <c r="M228" s="1">
        <v>18829</v>
      </c>
      <c r="N228" s="1">
        <v>2973</v>
      </c>
      <c r="O228" s="1">
        <v>15856</v>
      </c>
      <c r="P228">
        <v>1</v>
      </c>
      <c r="Q228">
        <v>6</v>
      </c>
      <c r="R228">
        <v>2014</v>
      </c>
      <c r="S228" s="3">
        <v>41791</v>
      </c>
      <c r="T228" t="str">
        <f t="shared" si="3"/>
        <v>Low Discount</v>
      </c>
    </row>
    <row r="229" spans="1:20" x14ac:dyDescent="0.25">
      <c r="A229" t="s">
        <v>204</v>
      </c>
      <c r="B229" t="s">
        <v>26</v>
      </c>
      <c r="C229" t="s">
        <v>27</v>
      </c>
      <c r="D229" t="s">
        <v>22</v>
      </c>
      <c r="E229" t="s">
        <v>23</v>
      </c>
      <c r="F229" t="s">
        <v>24</v>
      </c>
      <c r="G229" s="1">
        <v>3</v>
      </c>
      <c r="H229" s="1">
        <v>20</v>
      </c>
      <c r="I229">
        <v>1016</v>
      </c>
      <c r="J229" s="2">
        <v>0.05</v>
      </c>
      <c r="K229" s="1">
        <v>20320</v>
      </c>
      <c r="L229" s="1">
        <v>1016</v>
      </c>
      <c r="M229" s="1">
        <v>19304</v>
      </c>
      <c r="N229" s="1">
        <v>3048</v>
      </c>
      <c r="O229" s="1">
        <v>16256</v>
      </c>
      <c r="P229">
        <v>1</v>
      </c>
      <c r="Q229">
        <v>11</v>
      </c>
      <c r="R229">
        <v>2013</v>
      </c>
      <c r="S229" s="3">
        <v>41579</v>
      </c>
      <c r="T229" t="str">
        <f t="shared" si="3"/>
        <v>Low Discount</v>
      </c>
    </row>
    <row r="230" spans="1:20" x14ac:dyDescent="0.25">
      <c r="A230" t="s">
        <v>205</v>
      </c>
      <c r="B230" t="s">
        <v>35</v>
      </c>
      <c r="C230" t="s">
        <v>36</v>
      </c>
      <c r="D230" t="s">
        <v>31</v>
      </c>
      <c r="E230" t="s">
        <v>32</v>
      </c>
      <c r="F230" t="s">
        <v>24</v>
      </c>
      <c r="G230" s="1">
        <v>3</v>
      </c>
      <c r="H230" s="1">
        <v>20</v>
      </c>
      <c r="I230">
        <v>2791</v>
      </c>
      <c r="J230" s="2">
        <v>0.05</v>
      </c>
      <c r="K230" s="1">
        <v>55820</v>
      </c>
      <c r="L230" s="1">
        <v>2791</v>
      </c>
      <c r="M230" s="1">
        <v>53029</v>
      </c>
      <c r="N230" s="1">
        <v>8373</v>
      </c>
      <c r="O230" s="1">
        <v>44656</v>
      </c>
      <c r="P230">
        <v>1</v>
      </c>
      <c r="Q230">
        <v>11</v>
      </c>
      <c r="R230">
        <v>2014</v>
      </c>
      <c r="S230" s="3">
        <v>41944</v>
      </c>
      <c r="T230" t="str">
        <f t="shared" si="3"/>
        <v>Low Discount</v>
      </c>
    </row>
    <row r="231" spans="1:20" x14ac:dyDescent="0.25">
      <c r="A231" t="s">
        <v>178</v>
      </c>
      <c r="B231" t="s">
        <v>54</v>
      </c>
      <c r="C231" t="s">
        <v>55</v>
      </c>
      <c r="D231" t="s">
        <v>22</v>
      </c>
      <c r="E231" t="s">
        <v>23</v>
      </c>
      <c r="F231" t="s">
        <v>24</v>
      </c>
      <c r="G231" s="1">
        <v>3</v>
      </c>
      <c r="H231" s="1">
        <v>20</v>
      </c>
      <c r="I231">
        <v>570</v>
      </c>
      <c r="J231" s="2">
        <v>0.05</v>
      </c>
      <c r="K231" s="1">
        <v>11400</v>
      </c>
      <c r="L231" s="1">
        <v>570</v>
      </c>
      <c r="M231" s="1">
        <v>10830</v>
      </c>
      <c r="N231" s="1">
        <v>1710</v>
      </c>
      <c r="O231" s="1">
        <v>9120</v>
      </c>
      <c r="P231">
        <v>1</v>
      </c>
      <c r="Q231">
        <v>12</v>
      </c>
      <c r="R231">
        <v>2014</v>
      </c>
      <c r="S231" s="3">
        <v>41974</v>
      </c>
      <c r="T231" t="str">
        <f t="shared" si="3"/>
        <v>Low Discount</v>
      </c>
    </row>
    <row r="232" spans="1:20" x14ac:dyDescent="0.25">
      <c r="A232" t="s">
        <v>100</v>
      </c>
      <c r="B232" t="s">
        <v>29</v>
      </c>
      <c r="C232" t="s">
        <v>30</v>
      </c>
      <c r="D232" t="s">
        <v>22</v>
      </c>
      <c r="E232" t="s">
        <v>23</v>
      </c>
      <c r="F232" t="s">
        <v>24</v>
      </c>
      <c r="G232" s="1">
        <v>3</v>
      </c>
      <c r="H232" s="1">
        <v>20</v>
      </c>
      <c r="I232">
        <v>2487</v>
      </c>
      <c r="J232" s="2">
        <v>0.05</v>
      </c>
      <c r="K232" s="1">
        <v>49740</v>
      </c>
      <c r="L232" s="1">
        <v>2487</v>
      </c>
      <c r="M232" s="1">
        <v>47253</v>
      </c>
      <c r="N232" s="1">
        <v>7461</v>
      </c>
      <c r="O232" s="1">
        <v>39792</v>
      </c>
      <c r="P232">
        <v>1</v>
      </c>
      <c r="Q232">
        <v>12</v>
      </c>
      <c r="R232">
        <v>2014</v>
      </c>
      <c r="S232" s="3">
        <v>41974</v>
      </c>
      <c r="T232" t="str">
        <f t="shared" si="3"/>
        <v>Low Discount</v>
      </c>
    </row>
    <row r="233" spans="1:20" x14ac:dyDescent="0.25">
      <c r="A233" t="s">
        <v>86</v>
      </c>
      <c r="B233" t="s">
        <v>29</v>
      </c>
      <c r="C233" t="s">
        <v>30</v>
      </c>
      <c r="D233" t="s">
        <v>22</v>
      </c>
      <c r="E233" t="s">
        <v>23</v>
      </c>
      <c r="F233" t="s">
        <v>39</v>
      </c>
      <c r="G233" s="1">
        <v>5</v>
      </c>
      <c r="H233" s="1">
        <v>15</v>
      </c>
      <c r="I233">
        <v>1384</v>
      </c>
      <c r="J233" s="2">
        <v>5.0018063583815026E-2</v>
      </c>
      <c r="K233" s="1">
        <v>20760</v>
      </c>
      <c r="L233" s="1">
        <v>1038.375</v>
      </c>
      <c r="M233" s="1">
        <v>19721.625</v>
      </c>
      <c r="N233" s="1">
        <v>6920</v>
      </c>
      <c r="O233" s="1">
        <v>12801.625</v>
      </c>
      <c r="P233">
        <v>1</v>
      </c>
      <c r="Q233">
        <v>1</v>
      </c>
      <c r="R233">
        <v>2014</v>
      </c>
      <c r="S233" s="3">
        <v>41640</v>
      </c>
      <c r="T233" t="str">
        <f t="shared" si="3"/>
        <v>Low Discount</v>
      </c>
    </row>
    <row r="234" spans="1:20" x14ac:dyDescent="0.25">
      <c r="A234" t="s">
        <v>206</v>
      </c>
      <c r="B234" t="s">
        <v>54</v>
      </c>
      <c r="C234" t="s">
        <v>55</v>
      </c>
      <c r="D234" t="s">
        <v>46</v>
      </c>
      <c r="E234" t="s">
        <v>47</v>
      </c>
      <c r="F234" t="s">
        <v>39</v>
      </c>
      <c r="G234" s="1">
        <v>5</v>
      </c>
      <c r="H234" s="1">
        <v>15</v>
      </c>
      <c r="I234">
        <v>3627</v>
      </c>
      <c r="J234" s="2">
        <v>0.05</v>
      </c>
      <c r="K234" s="1">
        <v>54405</v>
      </c>
      <c r="L234" s="1">
        <v>2720.25</v>
      </c>
      <c r="M234" s="1">
        <v>51684.75</v>
      </c>
      <c r="N234" s="1">
        <v>18135</v>
      </c>
      <c r="O234" s="1">
        <v>33549.75</v>
      </c>
      <c r="P234">
        <v>1</v>
      </c>
      <c r="Q234">
        <v>7</v>
      </c>
      <c r="R234">
        <v>2014</v>
      </c>
      <c r="S234" s="3">
        <v>41821</v>
      </c>
      <c r="T234" t="str">
        <f t="shared" si="3"/>
        <v>Low Discount</v>
      </c>
    </row>
    <row r="235" spans="1:20" x14ac:dyDescent="0.25">
      <c r="A235" t="s">
        <v>171</v>
      </c>
      <c r="B235" t="s">
        <v>35</v>
      </c>
      <c r="C235" t="s">
        <v>36</v>
      </c>
      <c r="D235" t="s">
        <v>22</v>
      </c>
      <c r="E235" t="s">
        <v>23</v>
      </c>
      <c r="F235" t="s">
        <v>39</v>
      </c>
      <c r="G235" s="1">
        <v>5</v>
      </c>
      <c r="H235" s="1">
        <v>15</v>
      </c>
      <c r="I235">
        <v>720</v>
      </c>
      <c r="J235" s="2">
        <v>0.05</v>
      </c>
      <c r="K235" s="1">
        <v>10800</v>
      </c>
      <c r="L235" s="1">
        <v>540</v>
      </c>
      <c r="M235" s="1">
        <v>10260</v>
      </c>
      <c r="N235" s="1">
        <v>3600</v>
      </c>
      <c r="O235" s="1">
        <v>6660</v>
      </c>
      <c r="P235">
        <v>1</v>
      </c>
      <c r="Q235">
        <v>9</v>
      </c>
      <c r="R235">
        <v>2013</v>
      </c>
      <c r="S235" s="3">
        <v>41518</v>
      </c>
      <c r="T235" t="str">
        <f t="shared" si="3"/>
        <v>Low Discount</v>
      </c>
    </row>
    <row r="236" spans="1:20" x14ac:dyDescent="0.25">
      <c r="A236" t="s">
        <v>207</v>
      </c>
      <c r="B236" t="s">
        <v>26</v>
      </c>
      <c r="C236" t="s">
        <v>27</v>
      </c>
      <c r="D236" t="s">
        <v>41</v>
      </c>
      <c r="E236" t="s">
        <v>42</v>
      </c>
      <c r="F236" t="s">
        <v>39</v>
      </c>
      <c r="G236" s="1">
        <v>5</v>
      </c>
      <c r="H236" s="1">
        <v>15</v>
      </c>
      <c r="I236">
        <v>2342</v>
      </c>
      <c r="J236" s="2">
        <v>0.05</v>
      </c>
      <c r="K236" s="1">
        <v>35130</v>
      </c>
      <c r="L236" s="1">
        <v>1756.5</v>
      </c>
      <c r="M236" s="1">
        <v>33373.5</v>
      </c>
      <c r="N236" s="1">
        <v>11710</v>
      </c>
      <c r="O236" s="1">
        <v>21663.5</v>
      </c>
      <c r="P236">
        <v>1</v>
      </c>
      <c r="Q236">
        <v>11</v>
      </c>
      <c r="R236">
        <v>2014</v>
      </c>
      <c r="S236" s="3">
        <v>41944</v>
      </c>
      <c r="T236" t="str">
        <f t="shared" si="3"/>
        <v>Low Discount</v>
      </c>
    </row>
    <row r="237" spans="1:20" x14ac:dyDescent="0.25">
      <c r="A237" t="s">
        <v>208</v>
      </c>
      <c r="B237" t="s">
        <v>35</v>
      </c>
      <c r="C237" t="s">
        <v>36</v>
      </c>
      <c r="D237" t="s">
        <v>49</v>
      </c>
      <c r="E237" t="s">
        <v>50</v>
      </c>
      <c r="F237" t="s">
        <v>39</v>
      </c>
      <c r="G237" s="1">
        <v>5</v>
      </c>
      <c r="H237" s="1">
        <v>15</v>
      </c>
      <c r="I237">
        <v>1100</v>
      </c>
      <c r="J237" s="2">
        <v>0.05</v>
      </c>
      <c r="K237" s="1">
        <v>16500</v>
      </c>
      <c r="L237" s="1">
        <v>825</v>
      </c>
      <c r="M237" s="1">
        <v>15675</v>
      </c>
      <c r="N237" s="1">
        <v>5500</v>
      </c>
      <c r="O237" s="1">
        <v>10175</v>
      </c>
      <c r="P237">
        <v>1</v>
      </c>
      <c r="Q237">
        <v>12</v>
      </c>
      <c r="R237">
        <v>2013</v>
      </c>
      <c r="S237" s="3">
        <v>41609</v>
      </c>
      <c r="T237" t="str">
        <f t="shared" si="3"/>
        <v>Low Discount</v>
      </c>
    </row>
    <row r="238" spans="1:20" x14ac:dyDescent="0.25">
      <c r="A238" t="s">
        <v>80</v>
      </c>
      <c r="B238" t="s">
        <v>29</v>
      </c>
      <c r="C238" t="s">
        <v>30</v>
      </c>
      <c r="D238" t="s">
        <v>22</v>
      </c>
      <c r="E238" t="s">
        <v>23</v>
      </c>
      <c r="F238" t="s">
        <v>57</v>
      </c>
      <c r="G238" s="1">
        <v>10</v>
      </c>
      <c r="H238" s="1">
        <v>20</v>
      </c>
      <c r="I238">
        <v>1303</v>
      </c>
      <c r="J238" s="2">
        <v>0.05</v>
      </c>
      <c r="K238" s="1">
        <v>26060</v>
      </c>
      <c r="L238" s="1">
        <v>1303</v>
      </c>
      <c r="M238" s="1">
        <v>24757</v>
      </c>
      <c r="N238" s="1">
        <v>13030</v>
      </c>
      <c r="O238" s="1">
        <v>11727</v>
      </c>
      <c r="P238">
        <v>1</v>
      </c>
      <c r="Q238">
        <v>2</v>
      </c>
      <c r="R238">
        <v>2014</v>
      </c>
      <c r="S238" s="3">
        <v>41671</v>
      </c>
      <c r="T238" t="str">
        <f t="shared" si="3"/>
        <v>Low Discount</v>
      </c>
    </row>
    <row r="239" spans="1:20" x14ac:dyDescent="0.25">
      <c r="A239" t="s">
        <v>209</v>
      </c>
      <c r="B239" t="s">
        <v>54</v>
      </c>
      <c r="C239" t="s">
        <v>55</v>
      </c>
      <c r="D239" t="s">
        <v>46</v>
      </c>
      <c r="E239" t="s">
        <v>47</v>
      </c>
      <c r="F239" t="s">
        <v>57</v>
      </c>
      <c r="G239" s="1">
        <v>10</v>
      </c>
      <c r="H239" s="1">
        <v>20</v>
      </c>
      <c r="I239">
        <v>2992</v>
      </c>
      <c r="J239" s="2">
        <v>0.05</v>
      </c>
      <c r="K239" s="1">
        <v>59840</v>
      </c>
      <c r="L239" s="1">
        <v>2992</v>
      </c>
      <c r="M239" s="1">
        <v>56848</v>
      </c>
      <c r="N239" s="1">
        <v>29920</v>
      </c>
      <c r="O239" s="1">
        <v>26928</v>
      </c>
      <c r="P239">
        <v>1</v>
      </c>
      <c r="Q239">
        <v>3</v>
      </c>
      <c r="R239">
        <v>2014</v>
      </c>
      <c r="S239" s="3">
        <v>41699</v>
      </c>
      <c r="T239" t="str">
        <f t="shared" si="3"/>
        <v>Low Discount</v>
      </c>
    </row>
    <row r="240" spans="1:20" x14ac:dyDescent="0.25">
      <c r="A240" t="s">
        <v>210</v>
      </c>
      <c r="B240" t="s">
        <v>29</v>
      </c>
      <c r="C240" t="s">
        <v>30</v>
      </c>
      <c r="D240" t="s">
        <v>46</v>
      </c>
      <c r="E240" t="s">
        <v>47</v>
      </c>
      <c r="F240" t="s">
        <v>57</v>
      </c>
      <c r="G240" s="1">
        <v>10</v>
      </c>
      <c r="H240" s="1">
        <v>20</v>
      </c>
      <c r="I240">
        <v>2385</v>
      </c>
      <c r="J240" s="2">
        <v>0.05</v>
      </c>
      <c r="K240" s="1">
        <v>47700</v>
      </c>
      <c r="L240" s="1">
        <v>2385</v>
      </c>
      <c r="M240" s="1">
        <v>45315</v>
      </c>
      <c r="N240" s="1">
        <v>23850</v>
      </c>
      <c r="O240" s="1">
        <v>21465</v>
      </c>
      <c r="P240">
        <v>1</v>
      </c>
      <c r="Q240">
        <v>3</v>
      </c>
      <c r="R240">
        <v>2014</v>
      </c>
      <c r="S240" s="3">
        <v>41699</v>
      </c>
      <c r="T240" t="str">
        <f t="shared" si="3"/>
        <v>Low Discount</v>
      </c>
    </row>
    <row r="241" spans="1:20" x14ac:dyDescent="0.25">
      <c r="A241" t="s">
        <v>211</v>
      </c>
      <c r="B241" t="s">
        <v>35</v>
      </c>
      <c r="C241" t="s">
        <v>36</v>
      </c>
      <c r="D241" t="s">
        <v>49</v>
      </c>
      <c r="E241" t="s">
        <v>50</v>
      </c>
      <c r="F241" t="s">
        <v>57</v>
      </c>
      <c r="G241" s="1">
        <v>10</v>
      </c>
      <c r="H241" s="1">
        <v>20</v>
      </c>
      <c r="I241">
        <v>1607</v>
      </c>
      <c r="J241" s="2">
        <v>0.05</v>
      </c>
      <c r="K241" s="1">
        <v>32140</v>
      </c>
      <c r="L241" s="1">
        <v>1607</v>
      </c>
      <c r="M241" s="1">
        <v>30533</v>
      </c>
      <c r="N241" s="1">
        <v>16070</v>
      </c>
      <c r="O241" s="1">
        <v>14463</v>
      </c>
      <c r="P241">
        <v>1</v>
      </c>
      <c r="Q241">
        <v>4</v>
      </c>
      <c r="R241">
        <v>2014</v>
      </c>
      <c r="S241" s="3">
        <v>41730</v>
      </c>
      <c r="T241" t="str">
        <f t="shared" si="3"/>
        <v>Low Discount</v>
      </c>
    </row>
    <row r="242" spans="1:20" x14ac:dyDescent="0.25">
      <c r="A242" t="s">
        <v>212</v>
      </c>
      <c r="B242" t="s">
        <v>54</v>
      </c>
      <c r="C242" t="s">
        <v>55</v>
      </c>
      <c r="D242" t="s">
        <v>22</v>
      </c>
      <c r="E242" t="s">
        <v>23</v>
      </c>
      <c r="F242" t="s">
        <v>57</v>
      </c>
      <c r="G242" s="1">
        <v>10</v>
      </c>
      <c r="H242" s="1">
        <v>20</v>
      </c>
      <c r="I242">
        <v>2327</v>
      </c>
      <c r="J242" s="2">
        <v>0.05</v>
      </c>
      <c r="K242" s="1">
        <v>46540</v>
      </c>
      <c r="L242" s="1">
        <v>2327</v>
      </c>
      <c r="M242" s="1">
        <v>44213</v>
      </c>
      <c r="N242" s="1">
        <v>23270</v>
      </c>
      <c r="O242" s="1">
        <v>20943</v>
      </c>
      <c r="P242">
        <v>1</v>
      </c>
      <c r="Q242">
        <v>5</v>
      </c>
      <c r="R242">
        <v>2014</v>
      </c>
      <c r="S242" s="3">
        <v>41760</v>
      </c>
      <c r="T242" t="str">
        <f t="shared" si="3"/>
        <v>Low Discount</v>
      </c>
    </row>
    <row r="243" spans="1:20" x14ac:dyDescent="0.25">
      <c r="A243" t="s">
        <v>203</v>
      </c>
      <c r="B243" t="s">
        <v>54</v>
      </c>
      <c r="C243" t="s">
        <v>55</v>
      </c>
      <c r="D243" t="s">
        <v>49</v>
      </c>
      <c r="E243" t="s">
        <v>50</v>
      </c>
      <c r="F243" t="s">
        <v>57</v>
      </c>
      <c r="G243" s="1">
        <v>10</v>
      </c>
      <c r="H243" s="1">
        <v>20</v>
      </c>
      <c r="I243">
        <v>991</v>
      </c>
      <c r="J243" s="2">
        <v>0.05</v>
      </c>
      <c r="K243" s="1">
        <v>19820</v>
      </c>
      <c r="L243" s="1">
        <v>991</v>
      </c>
      <c r="M243" s="1">
        <v>18829</v>
      </c>
      <c r="N243" s="1">
        <v>9910</v>
      </c>
      <c r="O243" s="1">
        <v>8919</v>
      </c>
      <c r="P243">
        <v>1</v>
      </c>
      <c r="Q243">
        <v>6</v>
      </c>
      <c r="R243">
        <v>2014</v>
      </c>
      <c r="S243" s="3">
        <v>41791</v>
      </c>
      <c r="T243" t="str">
        <f t="shared" si="3"/>
        <v>Low Discount</v>
      </c>
    </row>
    <row r="244" spans="1:20" x14ac:dyDescent="0.25">
      <c r="A244" t="s">
        <v>213</v>
      </c>
      <c r="B244" t="s">
        <v>54</v>
      </c>
      <c r="C244" t="s">
        <v>55</v>
      </c>
      <c r="D244" t="s">
        <v>22</v>
      </c>
      <c r="E244" t="s">
        <v>23</v>
      </c>
      <c r="F244" t="s">
        <v>57</v>
      </c>
      <c r="G244" s="1">
        <v>10</v>
      </c>
      <c r="H244" s="1">
        <v>20</v>
      </c>
      <c r="I244">
        <v>602</v>
      </c>
      <c r="J244" s="2">
        <v>0.05</v>
      </c>
      <c r="K244" s="1">
        <v>12040</v>
      </c>
      <c r="L244" s="1">
        <v>602</v>
      </c>
      <c r="M244" s="1">
        <v>11438</v>
      </c>
      <c r="N244" s="1">
        <v>6020</v>
      </c>
      <c r="O244" s="1">
        <v>5418</v>
      </c>
      <c r="P244">
        <v>1</v>
      </c>
      <c r="Q244">
        <v>6</v>
      </c>
      <c r="R244">
        <v>2014</v>
      </c>
      <c r="S244" s="3">
        <v>41791</v>
      </c>
      <c r="T244" t="str">
        <f t="shared" si="3"/>
        <v>Low Discount</v>
      </c>
    </row>
    <row r="245" spans="1:20" x14ac:dyDescent="0.25">
      <c r="A245" t="s">
        <v>214</v>
      </c>
      <c r="B245" t="s">
        <v>29</v>
      </c>
      <c r="C245" t="s">
        <v>30</v>
      </c>
      <c r="D245" t="s">
        <v>31</v>
      </c>
      <c r="E245" t="s">
        <v>32</v>
      </c>
      <c r="F245" t="s">
        <v>57</v>
      </c>
      <c r="G245" s="1">
        <v>10</v>
      </c>
      <c r="H245" s="1">
        <v>20</v>
      </c>
      <c r="I245">
        <v>2620</v>
      </c>
      <c r="J245" s="2">
        <v>0.05</v>
      </c>
      <c r="K245" s="1">
        <v>52400</v>
      </c>
      <c r="L245" s="1">
        <v>2620</v>
      </c>
      <c r="M245" s="1">
        <v>49780</v>
      </c>
      <c r="N245" s="1">
        <v>26200</v>
      </c>
      <c r="O245" s="1">
        <v>23580</v>
      </c>
      <c r="P245">
        <v>1</v>
      </c>
      <c r="Q245">
        <v>9</v>
      </c>
      <c r="R245">
        <v>2014</v>
      </c>
      <c r="S245" s="3">
        <v>41883</v>
      </c>
      <c r="T245" t="str">
        <f t="shared" si="3"/>
        <v>Low Discount</v>
      </c>
    </row>
    <row r="246" spans="1:20" x14ac:dyDescent="0.25">
      <c r="A246" t="s">
        <v>176</v>
      </c>
      <c r="B246" t="s">
        <v>20</v>
      </c>
      <c r="C246" t="s">
        <v>21</v>
      </c>
      <c r="D246" t="s">
        <v>22</v>
      </c>
      <c r="E246" t="s">
        <v>23</v>
      </c>
      <c r="F246" t="s">
        <v>57</v>
      </c>
      <c r="G246" s="1">
        <v>10</v>
      </c>
      <c r="H246" s="1">
        <v>20</v>
      </c>
      <c r="I246">
        <v>1228</v>
      </c>
      <c r="J246" s="2">
        <v>0.05</v>
      </c>
      <c r="K246" s="1">
        <v>24560</v>
      </c>
      <c r="L246" s="1">
        <v>1228</v>
      </c>
      <c r="M246" s="1">
        <v>23332</v>
      </c>
      <c r="N246" s="1">
        <v>12280</v>
      </c>
      <c r="O246" s="1">
        <v>11052</v>
      </c>
      <c r="P246">
        <v>1</v>
      </c>
      <c r="Q246">
        <v>10</v>
      </c>
      <c r="R246">
        <v>2013</v>
      </c>
      <c r="S246" s="3">
        <v>41548</v>
      </c>
      <c r="T246" t="str">
        <f t="shared" si="3"/>
        <v>Low Discount</v>
      </c>
    </row>
    <row r="247" spans="1:20" x14ac:dyDescent="0.25">
      <c r="A247" t="s">
        <v>176</v>
      </c>
      <c r="B247" t="s">
        <v>20</v>
      </c>
      <c r="C247" t="s">
        <v>21</v>
      </c>
      <c r="D247" t="s">
        <v>22</v>
      </c>
      <c r="E247" t="s">
        <v>23</v>
      </c>
      <c r="F247" t="s">
        <v>57</v>
      </c>
      <c r="G247" s="1">
        <v>10</v>
      </c>
      <c r="H247" s="1">
        <v>20</v>
      </c>
      <c r="I247">
        <v>1389</v>
      </c>
      <c r="J247" s="2">
        <v>0.05</v>
      </c>
      <c r="K247" s="1">
        <v>27780</v>
      </c>
      <c r="L247" s="1">
        <v>1389</v>
      </c>
      <c r="M247" s="1">
        <v>26391</v>
      </c>
      <c r="N247" s="1">
        <v>13890</v>
      </c>
      <c r="O247" s="1">
        <v>12501</v>
      </c>
      <c r="P247">
        <v>1</v>
      </c>
      <c r="Q247">
        <v>10</v>
      </c>
      <c r="R247">
        <v>2013</v>
      </c>
      <c r="S247" s="3">
        <v>41548</v>
      </c>
      <c r="T247" t="str">
        <f t="shared" si="3"/>
        <v>Low Discount</v>
      </c>
    </row>
    <row r="248" spans="1:20" x14ac:dyDescent="0.25">
      <c r="A248" t="s">
        <v>215</v>
      </c>
      <c r="B248" t="s">
        <v>54</v>
      </c>
      <c r="C248" t="s">
        <v>55</v>
      </c>
      <c r="D248" t="s">
        <v>46</v>
      </c>
      <c r="E248" t="s">
        <v>47</v>
      </c>
      <c r="F248" t="s">
        <v>57</v>
      </c>
      <c r="G248" s="1">
        <v>10</v>
      </c>
      <c r="H248" s="1">
        <v>20</v>
      </c>
      <c r="I248">
        <v>861</v>
      </c>
      <c r="J248" s="2">
        <v>0.05</v>
      </c>
      <c r="K248" s="1">
        <v>17220</v>
      </c>
      <c r="L248" s="1">
        <v>861</v>
      </c>
      <c r="M248" s="1">
        <v>16359</v>
      </c>
      <c r="N248" s="1">
        <v>8610</v>
      </c>
      <c r="O248" s="1">
        <v>7749</v>
      </c>
      <c r="P248">
        <v>1</v>
      </c>
      <c r="Q248">
        <v>10</v>
      </c>
      <c r="R248">
        <v>2014</v>
      </c>
      <c r="S248" s="3">
        <v>41913</v>
      </c>
      <c r="T248" t="str">
        <f t="shared" si="3"/>
        <v>Low Discount</v>
      </c>
    </row>
    <row r="249" spans="1:20" x14ac:dyDescent="0.25">
      <c r="A249" t="s">
        <v>216</v>
      </c>
      <c r="B249" t="s">
        <v>29</v>
      </c>
      <c r="C249" t="s">
        <v>30</v>
      </c>
      <c r="D249" t="s">
        <v>46</v>
      </c>
      <c r="E249" t="s">
        <v>47</v>
      </c>
      <c r="F249" t="s">
        <v>57</v>
      </c>
      <c r="G249" s="1">
        <v>10</v>
      </c>
      <c r="H249" s="1">
        <v>20</v>
      </c>
      <c r="I249">
        <v>704</v>
      </c>
      <c r="J249" s="2">
        <v>0.05</v>
      </c>
      <c r="K249" s="1">
        <v>14080</v>
      </c>
      <c r="L249" s="1">
        <v>704</v>
      </c>
      <c r="M249" s="1">
        <v>13376</v>
      </c>
      <c r="N249" s="1">
        <v>7040</v>
      </c>
      <c r="O249" s="1">
        <v>6336</v>
      </c>
      <c r="P249">
        <v>1</v>
      </c>
      <c r="Q249">
        <v>10</v>
      </c>
      <c r="R249">
        <v>2013</v>
      </c>
      <c r="S249" s="3">
        <v>41548</v>
      </c>
      <c r="T249" t="str">
        <f t="shared" si="3"/>
        <v>Low Discount</v>
      </c>
    </row>
    <row r="250" spans="1:20" x14ac:dyDescent="0.25">
      <c r="A250" t="s">
        <v>197</v>
      </c>
      <c r="B250" t="s">
        <v>20</v>
      </c>
      <c r="C250" t="s">
        <v>21</v>
      </c>
      <c r="D250" t="s">
        <v>22</v>
      </c>
      <c r="E250" t="s">
        <v>23</v>
      </c>
      <c r="F250" t="s">
        <v>57</v>
      </c>
      <c r="G250" s="1">
        <v>10</v>
      </c>
      <c r="H250" s="1">
        <v>20</v>
      </c>
      <c r="I250">
        <v>1802</v>
      </c>
      <c r="J250" s="2">
        <v>0.05</v>
      </c>
      <c r="K250" s="1">
        <v>36040</v>
      </c>
      <c r="L250" s="1">
        <v>1802</v>
      </c>
      <c r="M250" s="1">
        <v>34238</v>
      </c>
      <c r="N250" s="1">
        <v>18020</v>
      </c>
      <c r="O250" s="1">
        <v>16218</v>
      </c>
      <c r="P250">
        <v>1</v>
      </c>
      <c r="Q250">
        <v>12</v>
      </c>
      <c r="R250">
        <v>2013</v>
      </c>
      <c r="S250" s="3">
        <v>41609</v>
      </c>
      <c r="T250" t="str">
        <f t="shared" si="3"/>
        <v>Low Discount</v>
      </c>
    </row>
    <row r="251" spans="1:20" x14ac:dyDescent="0.25">
      <c r="A251" t="s">
        <v>178</v>
      </c>
      <c r="B251" t="s">
        <v>54</v>
      </c>
      <c r="C251" t="s">
        <v>55</v>
      </c>
      <c r="D251" t="s">
        <v>22</v>
      </c>
      <c r="E251" t="s">
        <v>23</v>
      </c>
      <c r="F251" t="s">
        <v>57</v>
      </c>
      <c r="G251" s="1">
        <v>10</v>
      </c>
      <c r="H251" s="1">
        <v>20</v>
      </c>
      <c r="I251">
        <v>2663</v>
      </c>
      <c r="J251" s="2">
        <v>0.05</v>
      </c>
      <c r="K251" s="1">
        <v>53260</v>
      </c>
      <c r="L251" s="1">
        <v>2663</v>
      </c>
      <c r="M251" s="1">
        <v>50597</v>
      </c>
      <c r="N251" s="1">
        <v>26630</v>
      </c>
      <c r="O251" s="1">
        <v>23967</v>
      </c>
      <c r="P251">
        <v>1</v>
      </c>
      <c r="Q251">
        <v>12</v>
      </c>
      <c r="R251">
        <v>2014</v>
      </c>
      <c r="S251" s="3">
        <v>41974</v>
      </c>
      <c r="T251" t="str">
        <f t="shared" si="3"/>
        <v>Low Discount</v>
      </c>
    </row>
    <row r="252" spans="1:20" x14ac:dyDescent="0.25">
      <c r="A252" t="s">
        <v>217</v>
      </c>
      <c r="B252" t="s">
        <v>29</v>
      </c>
      <c r="C252" t="s">
        <v>30</v>
      </c>
      <c r="D252" t="s">
        <v>22</v>
      </c>
      <c r="E252" t="s">
        <v>23</v>
      </c>
      <c r="F252" t="s">
        <v>57</v>
      </c>
      <c r="G252" s="1">
        <v>10</v>
      </c>
      <c r="H252" s="1">
        <v>20</v>
      </c>
      <c r="I252">
        <v>2136</v>
      </c>
      <c r="J252" s="2">
        <v>0.05</v>
      </c>
      <c r="K252" s="1">
        <v>42720</v>
      </c>
      <c r="L252" s="1">
        <v>2136</v>
      </c>
      <c r="M252" s="1">
        <v>40584</v>
      </c>
      <c r="N252" s="1">
        <v>21360</v>
      </c>
      <c r="O252" s="1">
        <v>19224</v>
      </c>
      <c r="P252">
        <v>1</v>
      </c>
      <c r="Q252">
        <v>12</v>
      </c>
      <c r="R252">
        <v>2013</v>
      </c>
      <c r="S252" s="3">
        <v>41609</v>
      </c>
      <c r="T252" t="str">
        <f t="shared" si="3"/>
        <v>Low Discount</v>
      </c>
    </row>
    <row r="253" spans="1:20" x14ac:dyDescent="0.25">
      <c r="A253" t="s">
        <v>218</v>
      </c>
      <c r="B253" t="s">
        <v>26</v>
      </c>
      <c r="C253" t="s">
        <v>27</v>
      </c>
      <c r="D253" t="s">
        <v>31</v>
      </c>
      <c r="E253" t="s">
        <v>32</v>
      </c>
      <c r="F253" t="s">
        <v>57</v>
      </c>
      <c r="G253" s="1">
        <v>10</v>
      </c>
      <c r="H253" s="1">
        <v>20</v>
      </c>
      <c r="I253">
        <v>2116</v>
      </c>
      <c r="J253" s="2">
        <v>0.05</v>
      </c>
      <c r="K253" s="1">
        <v>42320</v>
      </c>
      <c r="L253" s="1">
        <v>2116</v>
      </c>
      <c r="M253" s="1">
        <v>40204</v>
      </c>
      <c r="N253" s="1">
        <v>21160</v>
      </c>
      <c r="O253" s="1">
        <v>19044</v>
      </c>
      <c r="P253">
        <v>1</v>
      </c>
      <c r="Q253">
        <v>12</v>
      </c>
      <c r="R253">
        <v>2013</v>
      </c>
      <c r="S253" s="3">
        <v>41609</v>
      </c>
      <c r="T253" t="str">
        <f t="shared" si="3"/>
        <v>Low Discount</v>
      </c>
    </row>
    <row r="254" spans="1:20" x14ac:dyDescent="0.25">
      <c r="A254" t="s">
        <v>219</v>
      </c>
      <c r="B254" t="s">
        <v>54</v>
      </c>
      <c r="C254" t="s">
        <v>55</v>
      </c>
      <c r="D254" t="s">
        <v>31</v>
      </c>
      <c r="E254" t="s">
        <v>32</v>
      </c>
      <c r="F254" t="s">
        <v>71</v>
      </c>
      <c r="G254" s="1">
        <v>120</v>
      </c>
      <c r="H254" s="1">
        <v>180</v>
      </c>
      <c r="I254">
        <v>555</v>
      </c>
      <c r="J254" s="2">
        <v>0.05</v>
      </c>
      <c r="K254" s="1">
        <v>99900</v>
      </c>
      <c r="L254" s="1">
        <v>4995</v>
      </c>
      <c r="M254" s="1">
        <v>94905</v>
      </c>
      <c r="N254" s="1">
        <v>66600</v>
      </c>
      <c r="O254" s="1">
        <v>28305</v>
      </c>
      <c r="P254">
        <v>1</v>
      </c>
      <c r="Q254">
        <v>1</v>
      </c>
      <c r="R254">
        <v>2014</v>
      </c>
      <c r="S254" s="3">
        <v>41640</v>
      </c>
      <c r="T254" t="str">
        <f t="shared" si="3"/>
        <v>Low Discount</v>
      </c>
    </row>
    <row r="255" spans="1:20" x14ac:dyDescent="0.25">
      <c r="A255" t="s">
        <v>220</v>
      </c>
      <c r="B255" t="s">
        <v>35</v>
      </c>
      <c r="C255" t="s">
        <v>36</v>
      </c>
      <c r="D255" t="s">
        <v>31</v>
      </c>
      <c r="E255" t="s">
        <v>32</v>
      </c>
      <c r="F255" t="s">
        <v>71</v>
      </c>
      <c r="G255" s="1">
        <v>120</v>
      </c>
      <c r="H255" s="1">
        <v>180</v>
      </c>
      <c r="I255">
        <v>2861</v>
      </c>
      <c r="J255" s="2">
        <v>0.05</v>
      </c>
      <c r="K255" s="1">
        <v>514980</v>
      </c>
      <c r="L255" s="1">
        <v>25749</v>
      </c>
      <c r="M255" s="1">
        <v>489231</v>
      </c>
      <c r="N255" s="1">
        <v>343320</v>
      </c>
      <c r="O255" s="1">
        <v>145911</v>
      </c>
      <c r="P255">
        <v>1</v>
      </c>
      <c r="Q255">
        <v>1</v>
      </c>
      <c r="R255">
        <v>2014</v>
      </c>
      <c r="S255" s="3">
        <v>41640</v>
      </c>
      <c r="T255" t="str">
        <f t="shared" si="3"/>
        <v>Low Discount</v>
      </c>
    </row>
    <row r="256" spans="1:20" x14ac:dyDescent="0.25">
      <c r="A256" t="s">
        <v>221</v>
      </c>
      <c r="B256" t="s">
        <v>26</v>
      </c>
      <c r="C256" t="s">
        <v>27</v>
      </c>
      <c r="D256" t="s">
        <v>46</v>
      </c>
      <c r="E256" t="s">
        <v>47</v>
      </c>
      <c r="F256" t="s">
        <v>71</v>
      </c>
      <c r="G256" s="1">
        <v>120</v>
      </c>
      <c r="H256" s="1">
        <v>180</v>
      </c>
      <c r="I256">
        <v>807</v>
      </c>
      <c r="J256" s="2">
        <v>0.05</v>
      </c>
      <c r="K256" s="1">
        <v>145260</v>
      </c>
      <c r="L256" s="1">
        <v>7263</v>
      </c>
      <c r="M256" s="1">
        <v>137997</v>
      </c>
      <c r="N256" s="1">
        <v>96840</v>
      </c>
      <c r="O256" s="1">
        <v>41157</v>
      </c>
      <c r="P256">
        <v>1</v>
      </c>
      <c r="Q256">
        <v>2</v>
      </c>
      <c r="R256">
        <v>2014</v>
      </c>
      <c r="S256" s="3">
        <v>41671</v>
      </c>
      <c r="T256" t="str">
        <f t="shared" si="3"/>
        <v>Low Discount</v>
      </c>
    </row>
    <row r="257" spans="1:20" x14ac:dyDescent="0.25">
      <c r="A257" t="s">
        <v>213</v>
      </c>
      <c r="B257" t="s">
        <v>54</v>
      </c>
      <c r="C257" t="s">
        <v>55</v>
      </c>
      <c r="D257" t="s">
        <v>22</v>
      </c>
      <c r="E257" t="s">
        <v>23</v>
      </c>
      <c r="F257" t="s">
        <v>71</v>
      </c>
      <c r="G257" s="1">
        <v>120</v>
      </c>
      <c r="H257" s="1">
        <v>180</v>
      </c>
      <c r="I257">
        <v>602</v>
      </c>
      <c r="J257" s="2">
        <v>0.05</v>
      </c>
      <c r="K257" s="1">
        <v>108360</v>
      </c>
      <c r="L257" s="1">
        <v>5418</v>
      </c>
      <c r="M257" s="1">
        <v>102942</v>
      </c>
      <c r="N257" s="1">
        <v>72240</v>
      </c>
      <c r="O257" s="1">
        <v>30702</v>
      </c>
      <c r="P257">
        <v>1</v>
      </c>
      <c r="Q257">
        <v>6</v>
      </c>
      <c r="R257">
        <v>2014</v>
      </c>
      <c r="S257" s="3">
        <v>41791</v>
      </c>
      <c r="T257" t="str">
        <f t="shared" si="3"/>
        <v>Low Discount</v>
      </c>
    </row>
    <row r="258" spans="1:20" x14ac:dyDescent="0.25">
      <c r="A258" t="s">
        <v>222</v>
      </c>
      <c r="B258" t="s">
        <v>54</v>
      </c>
      <c r="C258" t="s">
        <v>55</v>
      </c>
      <c r="D258" t="s">
        <v>22</v>
      </c>
      <c r="E258" t="s">
        <v>23</v>
      </c>
      <c r="F258" t="s">
        <v>71</v>
      </c>
      <c r="G258" s="1">
        <v>120</v>
      </c>
      <c r="H258" s="1">
        <v>180</v>
      </c>
      <c r="I258">
        <v>2832</v>
      </c>
      <c r="J258" s="2">
        <v>0.05</v>
      </c>
      <c r="K258" s="1">
        <v>509760</v>
      </c>
      <c r="L258" s="1">
        <v>25488</v>
      </c>
      <c r="M258" s="1">
        <v>484272</v>
      </c>
      <c r="N258" s="1">
        <v>339840</v>
      </c>
      <c r="O258" s="1">
        <v>144432</v>
      </c>
      <c r="P258">
        <v>1</v>
      </c>
      <c r="Q258">
        <v>8</v>
      </c>
      <c r="R258">
        <v>2014</v>
      </c>
      <c r="S258" s="3">
        <v>41852</v>
      </c>
      <c r="T258" t="str">
        <f t="shared" ref="T258:T321" si="4">_xlfn.IFS(J258=0%,"No Discount",J258&lt;=3%,"Very Low Discount",J258&lt;=6%,"Low Discount",J258&lt;=9%,"Mid Discount",J258&lt;=12%,"High Discount",J258&lt;=15%,"Very High Discount")</f>
        <v>Low Discount</v>
      </c>
    </row>
    <row r="259" spans="1:20" x14ac:dyDescent="0.25">
      <c r="A259" t="s">
        <v>223</v>
      </c>
      <c r="B259" t="s">
        <v>29</v>
      </c>
      <c r="C259" t="s">
        <v>30</v>
      </c>
      <c r="D259" t="s">
        <v>22</v>
      </c>
      <c r="E259" t="s">
        <v>23</v>
      </c>
      <c r="F259" t="s">
        <v>71</v>
      </c>
      <c r="G259" s="1">
        <v>120</v>
      </c>
      <c r="H259" s="1">
        <v>180</v>
      </c>
      <c r="I259">
        <v>1579</v>
      </c>
      <c r="J259" s="2">
        <v>0.05</v>
      </c>
      <c r="K259" s="1">
        <v>284220</v>
      </c>
      <c r="L259" s="1">
        <v>14211</v>
      </c>
      <c r="M259" s="1">
        <v>270009</v>
      </c>
      <c r="N259" s="1">
        <v>189480</v>
      </c>
      <c r="O259" s="1">
        <v>80529</v>
      </c>
      <c r="P259">
        <v>1</v>
      </c>
      <c r="Q259">
        <v>8</v>
      </c>
      <c r="R259">
        <v>2014</v>
      </c>
      <c r="S259" s="3">
        <v>41852</v>
      </c>
      <c r="T259" t="str">
        <f t="shared" si="4"/>
        <v>Low Discount</v>
      </c>
    </row>
    <row r="260" spans="1:20" x14ac:dyDescent="0.25">
      <c r="A260" t="s">
        <v>215</v>
      </c>
      <c r="B260" t="s">
        <v>54</v>
      </c>
      <c r="C260" t="s">
        <v>55</v>
      </c>
      <c r="D260" t="s">
        <v>46</v>
      </c>
      <c r="E260" t="s">
        <v>47</v>
      </c>
      <c r="F260" t="s">
        <v>71</v>
      </c>
      <c r="G260" s="1">
        <v>120</v>
      </c>
      <c r="H260" s="1">
        <v>180</v>
      </c>
      <c r="I260">
        <v>861</v>
      </c>
      <c r="J260" s="2">
        <v>0.05</v>
      </c>
      <c r="K260" s="1">
        <v>154980</v>
      </c>
      <c r="L260" s="1">
        <v>7749</v>
      </c>
      <c r="M260" s="1">
        <v>147231</v>
      </c>
      <c r="N260" s="1">
        <v>103320</v>
      </c>
      <c r="O260" s="1">
        <v>43911</v>
      </c>
      <c r="P260">
        <v>1</v>
      </c>
      <c r="Q260">
        <v>10</v>
      </c>
      <c r="R260">
        <v>2014</v>
      </c>
      <c r="S260" s="3">
        <v>41913</v>
      </c>
      <c r="T260" t="str">
        <f t="shared" si="4"/>
        <v>Low Discount</v>
      </c>
    </row>
    <row r="261" spans="1:20" x14ac:dyDescent="0.25">
      <c r="A261" t="s">
        <v>216</v>
      </c>
      <c r="B261" t="s">
        <v>29</v>
      </c>
      <c r="C261" t="s">
        <v>30</v>
      </c>
      <c r="D261" t="s">
        <v>46</v>
      </c>
      <c r="E261" t="s">
        <v>47</v>
      </c>
      <c r="F261" t="s">
        <v>71</v>
      </c>
      <c r="G261" s="1">
        <v>120</v>
      </c>
      <c r="H261" s="1">
        <v>180</v>
      </c>
      <c r="I261">
        <v>704</v>
      </c>
      <c r="J261" s="2">
        <v>0.05</v>
      </c>
      <c r="K261" s="1">
        <v>126720</v>
      </c>
      <c r="L261" s="1">
        <v>6336</v>
      </c>
      <c r="M261" s="1">
        <v>120384</v>
      </c>
      <c r="N261" s="1">
        <v>84480</v>
      </c>
      <c r="O261" s="1">
        <v>35904</v>
      </c>
      <c r="P261">
        <v>1</v>
      </c>
      <c r="Q261">
        <v>10</v>
      </c>
      <c r="R261">
        <v>2013</v>
      </c>
      <c r="S261" s="3">
        <v>41548</v>
      </c>
      <c r="T261" t="str">
        <f t="shared" si="4"/>
        <v>Low Discount</v>
      </c>
    </row>
    <row r="262" spans="1:20" x14ac:dyDescent="0.25">
      <c r="A262" t="s">
        <v>217</v>
      </c>
      <c r="B262" t="s">
        <v>29</v>
      </c>
      <c r="C262" t="s">
        <v>30</v>
      </c>
      <c r="D262" t="s">
        <v>22</v>
      </c>
      <c r="E262" t="s">
        <v>23</v>
      </c>
      <c r="F262" t="s">
        <v>71</v>
      </c>
      <c r="G262" s="1">
        <v>120</v>
      </c>
      <c r="H262" s="1">
        <v>180</v>
      </c>
      <c r="I262">
        <v>1033</v>
      </c>
      <c r="J262" s="2">
        <v>0.05</v>
      </c>
      <c r="K262" s="1">
        <v>185940</v>
      </c>
      <c r="L262" s="1">
        <v>9297</v>
      </c>
      <c r="M262" s="1">
        <v>176643</v>
      </c>
      <c r="N262" s="1">
        <v>123960</v>
      </c>
      <c r="O262" s="1">
        <v>52683</v>
      </c>
      <c r="P262">
        <v>1</v>
      </c>
      <c r="Q262">
        <v>12</v>
      </c>
      <c r="R262">
        <v>2013</v>
      </c>
      <c r="S262" s="3">
        <v>41609</v>
      </c>
      <c r="T262" t="str">
        <f t="shared" si="4"/>
        <v>Low Discount</v>
      </c>
    </row>
    <row r="263" spans="1:20" x14ac:dyDescent="0.25">
      <c r="A263" t="s">
        <v>224</v>
      </c>
      <c r="B263" t="s">
        <v>26</v>
      </c>
      <c r="C263" t="s">
        <v>27</v>
      </c>
      <c r="D263" t="s">
        <v>49</v>
      </c>
      <c r="E263" t="s">
        <v>50</v>
      </c>
      <c r="F263" t="s">
        <v>71</v>
      </c>
      <c r="G263" s="1">
        <v>120</v>
      </c>
      <c r="H263" s="1">
        <v>180</v>
      </c>
      <c r="I263">
        <v>1250</v>
      </c>
      <c r="J263" s="2">
        <v>0.05</v>
      </c>
      <c r="K263" s="1">
        <v>225000</v>
      </c>
      <c r="L263" s="1">
        <v>11250</v>
      </c>
      <c r="M263" s="1">
        <v>213750</v>
      </c>
      <c r="N263" s="1">
        <v>150000</v>
      </c>
      <c r="O263" s="1">
        <v>63750</v>
      </c>
      <c r="P263">
        <v>1</v>
      </c>
      <c r="Q263">
        <v>12</v>
      </c>
      <c r="R263">
        <v>2014</v>
      </c>
      <c r="S263" s="3">
        <v>41974</v>
      </c>
      <c r="T263" t="str">
        <f t="shared" si="4"/>
        <v>Low Discount</v>
      </c>
    </row>
    <row r="264" spans="1:20" x14ac:dyDescent="0.25">
      <c r="A264" t="s">
        <v>176</v>
      </c>
      <c r="B264" t="s">
        <v>20</v>
      </c>
      <c r="C264" t="s">
        <v>21</v>
      </c>
      <c r="D264" t="s">
        <v>22</v>
      </c>
      <c r="E264" t="s">
        <v>23</v>
      </c>
      <c r="F264" t="s">
        <v>76</v>
      </c>
      <c r="G264" s="1">
        <v>250</v>
      </c>
      <c r="H264" s="1">
        <v>300</v>
      </c>
      <c r="I264">
        <v>1389</v>
      </c>
      <c r="J264" s="2">
        <v>0.05</v>
      </c>
      <c r="K264" s="1">
        <v>416700</v>
      </c>
      <c r="L264" s="1">
        <v>20835</v>
      </c>
      <c r="M264" s="1">
        <v>395865</v>
      </c>
      <c r="N264" s="1">
        <v>347250</v>
      </c>
      <c r="O264" s="1">
        <v>48615</v>
      </c>
      <c r="P264">
        <v>1</v>
      </c>
      <c r="Q264">
        <v>10</v>
      </c>
      <c r="R264">
        <v>2013</v>
      </c>
      <c r="S264" s="3">
        <v>41548</v>
      </c>
      <c r="T264" t="str">
        <f t="shared" si="4"/>
        <v>Low Discount</v>
      </c>
    </row>
    <row r="265" spans="1:20" x14ac:dyDescent="0.25">
      <c r="A265" t="s">
        <v>225</v>
      </c>
      <c r="B265" t="s">
        <v>54</v>
      </c>
      <c r="C265" t="s">
        <v>55</v>
      </c>
      <c r="D265" t="s">
        <v>22</v>
      </c>
      <c r="E265" t="s">
        <v>23</v>
      </c>
      <c r="F265" t="s">
        <v>76</v>
      </c>
      <c r="G265" s="1">
        <v>250</v>
      </c>
      <c r="H265" s="1">
        <v>300</v>
      </c>
      <c r="I265">
        <v>1265</v>
      </c>
      <c r="J265" s="2">
        <v>0.05</v>
      </c>
      <c r="K265" s="1">
        <v>379500</v>
      </c>
      <c r="L265" s="1">
        <v>18975</v>
      </c>
      <c r="M265" s="1">
        <v>360525</v>
      </c>
      <c r="N265" s="1">
        <v>316250</v>
      </c>
      <c r="O265" s="1">
        <v>44275</v>
      </c>
      <c r="P265">
        <v>1</v>
      </c>
      <c r="Q265">
        <v>11</v>
      </c>
      <c r="R265">
        <v>2013</v>
      </c>
      <c r="S265" s="3">
        <v>41579</v>
      </c>
      <c r="T265" t="str">
        <f t="shared" si="4"/>
        <v>Low Discount</v>
      </c>
    </row>
    <row r="266" spans="1:20" x14ac:dyDescent="0.25">
      <c r="A266" t="s">
        <v>204</v>
      </c>
      <c r="B266" t="s">
        <v>26</v>
      </c>
      <c r="C266" t="s">
        <v>27</v>
      </c>
      <c r="D266" t="s">
        <v>22</v>
      </c>
      <c r="E266" t="s">
        <v>23</v>
      </c>
      <c r="F266" t="s">
        <v>76</v>
      </c>
      <c r="G266" s="1">
        <v>250</v>
      </c>
      <c r="H266" s="1">
        <v>300</v>
      </c>
      <c r="I266">
        <v>2297</v>
      </c>
      <c r="J266" s="2">
        <v>0.05</v>
      </c>
      <c r="K266" s="1">
        <v>689100</v>
      </c>
      <c r="L266" s="1">
        <v>34455</v>
      </c>
      <c r="M266" s="1">
        <v>654645</v>
      </c>
      <c r="N266" s="1">
        <v>574250</v>
      </c>
      <c r="O266" s="1">
        <v>80395</v>
      </c>
      <c r="P266">
        <v>1</v>
      </c>
      <c r="Q266">
        <v>11</v>
      </c>
      <c r="R266">
        <v>2013</v>
      </c>
      <c r="S266" s="3">
        <v>41579</v>
      </c>
      <c r="T266" t="str">
        <f t="shared" si="4"/>
        <v>Low Discount</v>
      </c>
    </row>
    <row r="267" spans="1:20" x14ac:dyDescent="0.25">
      <c r="A267" t="s">
        <v>178</v>
      </c>
      <c r="B267" t="s">
        <v>54</v>
      </c>
      <c r="C267" t="s">
        <v>55</v>
      </c>
      <c r="D267" t="s">
        <v>22</v>
      </c>
      <c r="E267" t="s">
        <v>23</v>
      </c>
      <c r="F267" t="s">
        <v>76</v>
      </c>
      <c r="G267" s="1">
        <v>250</v>
      </c>
      <c r="H267" s="1">
        <v>300</v>
      </c>
      <c r="I267">
        <v>2663</v>
      </c>
      <c r="J267" s="2">
        <v>0.05</v>
      </c>
      <c r="K267" s="1">
        <v>798900</v>
      </c>
      <c r="L267" s="1">
        <v>39945</v>
      </c>
      <c r="M267" s="1">
        <v>758955</v>
      </c>
      <c r="N267" s="1">
        <v>665750</v>
      </c>
      <c r="O267" s="1">
        <v>93205</v>
      </c>
      <c r="P267">
        <v>1</v>
      </c>
      <c r="Q267">
        <v>12</v>
      </c>
      <c r="R267">
        <v>2014</v>
      </c>
      <c r="S267" s="3">
        <v>41974</v>
      </c>
      <c r="T267" t="str">
        <f t="shared" si="4"/>
        <v>Low Discount</v>
      </c>
    </row>
    <row r="268" spans="1:20" x14ac:dyDescent="0.25">
      <c r="A268" t="s">
        <v>178</v>
      </c>
      <c r="B268" t="s">
        <v>54</v>
      </c>
      <c r="C268" t="s">
        <v>55</v>
      </c>
      <c r="D268" t="s">
        <v>22</v>
      </c>
      <c r="E268" t="s">
        <v>23</v>
      </c>
      <c r="F268" t="s">
        <v>76</v>
      </c>
      <c r="G268" s="1">
        <v>250</v>
      </c>
      <c r="H268" s="1">
        <v>300</v>
      </c>
      <c r="I268">
        <v>570</v>
      </c>
      <c r="J268" s="2">
        <v>0.05</v>
      </c>
      <c r="K268" s="1">
        <v>171000</v>
      </c>
      <c r="L268" s="1">
        <v>8550</v>
      </c>
      <c r="M268" s="1">
        <v>162450</v>
      </c>
      <c r="N268" s="1">
        <v>142500</v>
      </c>
      <c r="O268" s="1">
        <v>19950</v>
      </c>
      <c r="P268">
        <v>1</v>
      </c>
      <c r="Q268">
        <v>12</v>
      </c>
      <c r="R268">
        <v>2014</v>
      </c>
      <c r="S268" s="3">
        <v>41974</v>
      </c>
      <c r="T268" t="str">
        <f t="shared" si="4"/>
        <v>Low Discount</v>
      </c>
    </row>
    <row r="269" spans="1:20" x14ac:dyDescent="0.25">
      <c r="A269" t="s">
        <v>100</v>
      </c>
      <c r="B269" t="s">
        <v>29</v>
      </c>
      <c r="C269" t="s">
        <v>30</v>
      </c>
      <c r="D269" t="s">
        <v>22</v>
      </c>
      <c r="E269" t="s">
        <v>23</v>
      </c>
      <c r="F269" t="s">
        <v>76</v>
      </c>
      <c r="G269" s="1">
        <v>250</v>
      </c>
      <c r="H269" s="1">
        <v>300</v>
      </c>
      <c r="I269">
        <v>2487</v>
      </c>
      <c r="J269" s="2">
        <v>0.05</v>
      </c>
      <c r="K269" s="1">
        <v>746100</v>
      </c>
      <c r="L269" s="1">
        <v>37305</v>
      </c>
      <c r="M269" s="1">
        <v>708795</v>
      </c>
      <c r="N269" s="1">
        <v>621750</v>
      </c>
      <c r="O269" s="1">
        <v>87045</v>
      </c>
      <c r="P269">
        <v>1</v>
      </c>
      <c r="Q269">
        <v>12</v>
      </c>
      <c r="R269">
        <v>2014</v>
      </c>
      <c r="S269" s="3">
        <v>41974</v>
      </c>
      <c r="T269" t="str">
        <f t="shared" si="4"/>
        <v>Low Discount</v>
      </c>
    </row>
    <row r="270" spans="1:20" x14ac:dyDescent="0.25">
      <c r="A270" t="s">
        <v>155</v>
      </c>
      <c r="B270" t="s">
        <v>26</v>
      </c>
      <c r="C270" t="s">
        <v>27</v>
      </c>
      <c r="D270" t="s">
        <v>22</v>
      </c>
      <c r="E270" t="s">
        <v>23</v>
      </c>
      <c r="F270" t="s">
        <v>81</v>
      </c>
      <c r="G270" s="1">
        <v>200</v>
      </c>
      <c r="H270" s="1">
        <v>350</v>
      </c>
      <c r="I270">
        <v>1350</v>
      </c>
      <c r="J270" s="2">
        <v>0.05</v>
      </c>
      <c r="K270" s="1">
        <v>472500</v>
      </c>
      <c r="L270" s="1">
        <v>23625</v>
      </c>
      <c r="M270" s="1">
        <v>448875</v>
      </c>
      <c r="N270" s="1">
        <v>270000</v>
      </c>
      <c r="O270" s="1">
        <v>178875</v>
      </c>
      <c r="P270">
        <v>1</v>
      </c>
      <c r="Q270">
        <v>2</v>
      </c>
      <c r="R270">
        <v>2014</v>
      </c>
      <c r="S270" s="3">
        <v>41671</v>
      </c>
      <c r="T270" t="str">
        <f t="shared" si="4"/>
        <v>Low Discount</v>
      </c>
    </row>
    <row r="271" spans="1:20" x14ac:dyDescent="0.25">
      <c r="A271" t="s">
        <v>104</v>
      </c>
      <c r="B271" t="s">
        <v>20</v>
      </c>
      <c r="C271" t="s">
        <v>21</v>
      </c>
      <c r="D271" t="s">
        <v>22</v>
      </c>
      <c r="E271" t="s">
        <v>23</v>
      </c>
      <c r="F271" t="s">
        <v>81</v>
      </c>
      <c r="G271" s="1">
        <v>200</v>
      </c>
      <c r="H271" s="1">
        <v>350</v>
      </c>
      <c r="I271">
        <v>552</v>
      </c>
      <c r="J271" s="2">
        <v>0.05</v>
      </c>
      <c r="K271" s="1">
        <v>193200</v>
      </c>
      <c r="L271" s="1">
        <v>9660</v>
      </c>
      <c r="M271" s="1">
        <v>183540</v>
      </c>
      <c r="N271" s="1">
        <v>110400</v>
      </c>
      <c r="O271" s="1">
        <v>73140</v>
      </c>
      <c r="P271">
        <v>1</v>
      </c>
      <c r="Q271">
        <v>8</v>
      </c>
      <c r="R271">
        <v>2014</v>
      </c>
      <c r="S271" s="3">
        <v>41852</v>
      </c>
      <c r="T271" t="str">
        <f t="shared" si="4"/>
        <v>Low Discount</v>
      </c>
    </row>
    <row r="272" spans="1:20" x14ac:dyDescent="0.25">
      <c r="A272" t="s">
        <v>176</v>
      </c>
      <c r="B272" t="s">
        <v>20</v>
      </c>
      <c r="C272" t="s">
        <v>21</v>
      </c>
      <c r="D272" t="s">
        <v>22</v>
      </c>
      <c r="E272" t="s">
        <v>23</v>
      </c>
      <c r="F272" t="s">
        <v>81</v>
      </c>
      <c r="G272" s="1">
        <v>200</v>
      </c>
      <c r="H272" s="1">
        <v>350</v>
      </c>
      <c r="I272">
        <v>1228</v>
      </c>
      <c r="J272" s="2">
        <v>0.05</v>
      </c>
      <c r="K272" s="1">
        <v>429800</v>
      </c>
      <c r="L272" s="1">
        <v>21490</v>
      </c>
      <c r="M272" s="1">
        <v>408310</v>
      </c>
      <c r="N272" s="1">
        <v>245600</v>
      </c>
      <c r="O272" s="1">
        <v>162710</v>
      </c>
      <c r="P272">
        <v>1</v>
      </c>
      <c r="Q272">
        <v>10</v>
      </c>
      <c r="R272">
        <v>2013</v>
      </c>
      <c r="S272" s="3">
        <v>41548</v>
      </c>
      <c r="T272" t="str">
        <f t="shared" si="4"/>
        <v>Low Discount</v>
      </c>
    </row>
    <row r="273" spans="1:20" x14ac:dyDescent="0.25">
      <c r="A273" t="s">
        <v>224</v>
      </c>
      <c r="B273" t="s">
        <v>26</v>
      </c>
      <c r="C273" t="s">
        <v>27</v>
      </c>
      <c r="D273" t="s">
        <v>49</v>
      </c>
      <c r="E273" t="s">
        <v>50</v>
      </c>
      <c r="F273" t="s">
        <v>81</v>
      </c>
      <c r="G273" s="1">
        <v>200</v>
      </c>
      <c r="H273" s="1">
        <v>350</v>
      </c>
      <c r="I273">
        <v>1250</v>
      </c>
      <c r="J273" s="2">
        <v>0.05</v>
      </c>
      <c r="K273" s="1">
        <v>437500</v>
      </c>
      <c r="L273" s="1">
        <v>21875</v>
      </c>
      <c r="M273" s="1">
        <v>415625</v>
      </c>
      <c r="N273" s="1">
        <v>250000</v>
      </c>
      <c r="O273" s="1">
        <v>165625</v>
      </c>
      <c r="P273">
        <v>1</v>
      </c>
      <c r="Q273">
        <v>12</v>
      </c>
      <c r="R273">
        <v>2014</v>
      </c>
      <c r="S273" s="3">
        <v>41974</v>
      </c>
      <c r="T273" t="str">
        <f t="shared" si="4"/>
        <v>Low Discount</v>
      </c>
    </row>
    <row r="274" spans="1:20" x14ac:dyDescent="0.25">
      <c r="A274" t="s">
        <v>226</v>
      </c>
      <c r="B274" t="s">
        <v>29</v>
      </c>
      <c r="C274" t="s">
        <v>30</v>
      </c>
      <c r="D274" t="s">
        <v>31</v>
      </c>
      <c r="E274" t="s">
        <v>32</v>
      </c>
      <c r="F274" t="s">
        <v>57</v>
      </c>
      <c r="G274" s="1">
        <v>10</v>
      </c>
      <c r="H274" s="1">
        <v>20</v>
      </c>
      <c r="I274">
        <v>3801</v>
      </c>
      <c r="J274" s="2">
        <v>6.0000000000000005E-2</v>
      </c>
      <c r="K274" s="1">
        <v>76020</v>
      </c>
      <c r="L274" s="1">
        <v>4561.2000000000007</v>
      </c>
      <c r="M274" s="1">
        <v>71458.8</v>
      </c>
      <c r="N274" s="1">
        <v>38010</v>
      </c>
      <c r="O274" s="1">
        <v>33448.800000000003</v>
      </c>
      <c r="P274">
        <v>1</v>
      </c>
      <c r="Q274">
        <v>4</v>
      </c>
      <c r="R274">
        <v>2014</v>
      </c>
      <c r="S274" s="3">
        <v>41730</v>
      </c>
      <c r="T274" t="str">
        <f t="shared" si="4"/>
        <v>Low Discount</v>
      </c>
    </row>
    <row r="275" spans="1:20" x14ac:dyDescent="0.25">
      <c r="A275" t="s">
        <v>227</v>
      </c>
      <c r="B275" t="s">
        <v>54</v>
      </c>
      <c r="C275" t="s">
        <v>55</v>
      </c>
      <c r="D275" t="s">
        <v>22</v>
      </c>
      <c r="E275" t="s">
        <v>23</v>
      </c>
      <c r="F275" t="s">
        <v>24</v>
      </c>
      <c r="G275" s="1">
        <v>3</v>
      </c>
      <c r="H275" s="1">
        <v>20</v>
      </c>
      <c r="I275">
        <v>1117</v>
      </c>
      <c r="J275" s="2">
        <v>6.0026857654431512E-2</v>
      </c>
      <c r="K275" s="1">
        <v>22340</v>
      </c>
      <c r="L275" s="1">
        <v>1341</v>
      </c>
      <c r="M275" s="1">
        <v>20999</v>
      </c>
      <c r="N275" s="1">
        <v>3351</v>
      </c>
      <c r="O275" s="1">
        <v>17648</v>
      </c>
      <c r="P275">
        <v>1</v>
      </c>
      <c r="Q275">
        <v>1</v>
      </c>
      <c r="R275">
        <v>2014</v>
      </c>
      <c r="S275" s="3">
        <v>41640</v>
      </c>
      <c r="T275" t="str">
        <f t="shared" si="4"/>
        <v>Mid Discount</v>
      </c>
    </row>
    <row r="276" spans="1:20" x14ac:dyDescent="0.25">
      <c r="A276" t="s">
        <v>228</v>
      </c>
      <c r="B276" t="s">
        <v>20</v>
      </c>
      <c r="C276" t="s">
        <v>21</v>
      </c>
      <c r="D276" t="s">
        <v>31</v>
      </c>
      <c r="E276" t="s">
        <v>32</v>
      </c>
      <c r="F276" t="s">
        <v>24</v>
      </c>
      <c r="G276" s="1">
        <v>3</v>
      </c>
      <c r="H276" s="1">
        <v>20</v>
      </c>
      <c r="I276">
        <v>2844</v>
      </c>
      <c r="J276" s="2">
        <v>0.06</v>
      </c>
      <c r="K276" s="1">
        <v>56880</v>
      </c>
      <c r="L276" s="1">
        <v>3412.7999999999997</v>
      </c>
      <c r="M276" s="1">
        <v>53467.199999999997</v>
      </c>
      <c r="N276" s="1">
        <v>8532</v>
      </c>
      <c r="O276" s="1">
        <v>44935.199999999997</v>
      </c>
      <c r="P276">
        <v>1</v>
      </c>
      <c r="Q276">
        <v>6</v>
      </c>
      <c r="R276">
        <v>2014</v>
      </c>
      <c r="S276" s="3">
        <v>41791</v>
      </c>
      <c r="T276" t="str">
        <f t="shared" si="4"/>
        <v>Low Discount</v>
      </c>
    </row>
    <row r="277" spans="1:20" x14ac:dyDescent="0.25">
      <c r="A277" t="s">
        <v>229</v>
      </c>
      <c r="B277" t="s">
        <v>35</v>
      </c>
      <c r="C277" t="s">
        <v>36</v>
      </c>
      <c r="D277" t="s">
        <v>41</v>
      </c>
      <c r="E277" t="s">
        <v>42</v>
      </c>
      <c r="F277" t="s">
        <v>24</v>
      </c>
      <c r="G277" s="1">
        <v>3</v>
      </c>
      <c r="H277" s="1">
        <v>20</v>
      </c>
      <c r="I277">
        <v>562</v>
      </c>
      <c r="J277" s="2">
        <v>0.06</v>
      </c>
      <c r="K277" s="1">
        <v>11240</v>
      </c>
      <c r="L277" s="1">
        <v>674.4</v>
      </c>
      <c r="M277" s="1">
        <v>10565.6</v>
      </c>
      <c r="N277" s="1">
        <v>1686</v>
      </c>
      <c r="O277" s="1">
        <v>8879.6</v>
      </c>
      <c r="P277">
        <v>1</v>
      </c>
      <c r="Q277">
        <v>9</v>
      </c>
      <c r="R277">
        <v>2014</v>
      </c>
      <c r="S277" s="3">
        <v>41883</v>
      </c>
      <c r="T277" t="str">
        <f t="shared" si="4"/>
        <v>Low Discount</v>
      </c>
    </row>
    <row r="278" spans="1:20" x14ac:dyDescent="0.25">
      <c r="A278" t="s">
        <v>230</v>
      </c>
      <c r="B278" t="s">
        <v>20</v>
      </c>
      <c r="C278" t="s">
        <v>21</v>
      </c>
      <c r="D278" t="s">
        <v>41</v>
      </c>
      <c r="E278" t="s">
        <v>42</v>
      </c>
      <c r="F278" t="s">
        <v>24</v>
      </c>
      <c r="G278" s="1">
        <v>3</v>
      </c>
      <c r="H278" s="1">
        <v>20</v>
      </c>
      <c r="I278">
        <v>2299</v>
      </c>
      <c r="J278" s="2">
        <v>0.06</v>
      </c>
      <c r="K278" s="1">
        <v>45980</v>
      </c>
      <c r="L278" s="1">
        <v>2758.7999999999997</v>
      </c>
      <c r="M278" s="1">
        <v>43221.2</v>
      </c>
      <c r="N278" s="1">
        <v>6897</v>
      </c>
      <c r="O278" s="1">
        <v>36324.199999999997</v>
      </c>
      <c r="P278">
        <v>1</v>
      </c>
      <c r="Q278">
        <v>10</v>
      </c>
      <c r="R278">
        <v>2013</v>
      </c>
      <c r="S278" s="3">
        <v>41548</v>
      </c>
      <c r="T278" t="str">
        <f t="shared" si="4"/>
        <v>Low Discount</v>
      </c>
    </row>
    <row r="279" spans="1:20" x14ac:dyDescent="0.25">
      <c r="A279" t="s">
        <v>231</v>
      </c>
      <c r="B279" t="s">
        <v>54</v>
      </c>
      <c r="C279" t="s">
        <v>55</v>
      </c>
      <c r="D279" t="s">
        <v>31</v>
      </c>
      <c r="E279" t="s">
        <v>32</v>
      </c>
      <c r="F279" t="s">
        <v>24</v>
      </c>
      <c r="G279" s="1">
        <v>3</v>
      </c>
      <c r="H279" s="1">
        <v>20</v>
      </c>
      <c r="I279">
        <v>2030</v>
      </c>
      <c r="J279" s="2">
        <v>0.06</v>
      </c>
      <c r="K279" s="1">
        <v>40600</v>
      </c>
      <c r="L279" s="1">
        <v>2436</v>
      </c>
      <c r="M279" s="1">
        <v>38164</v>
      </c>
      <c r="N279" s="1">
        <v>6090</v>
      </c>
      <c r="O279" s="1">
        <v>32074</v>
      </c>
      <c r="P279">
        <v>1</v>
      </c>
      <c r="Q279">
        <v>11</v>
      </c>
      <c r="R279">
        <v>2014</v>
      </c>
      <c r="S279" s="3">
        <v>41944</v>
      </c>
      <c r="T279" t="str">
        <f t="shared" si="4"/>
        <v>Low Discount</v>
      </c>
    </row>
    <row r="280" spans="1:20" x14ac:dyDescent="0.25">
      <c r="A280" t="s">
        <v>225</v>
      </c>
      <c r="B280" t="s">
        <v>54</v>
      </c>
      <c r="C280" t="s">
        <v>55</v>
      </c>
      <c r="D280" t="s">
        <v>22</v>
      </c>
      <c r="E280" t="s">
        <v>23</v>
      </c>
      <c r="F280" t="s">
        <v>24</v>
      </c>
      <c r="G280" s="1">
        <v>3</v>
      </c>
      <c r="H280" s="1">
        <v>20</v>
      </c>
      <c r="I280">
        <v>263</v>
      </c>
      <c r="J280" s="2">
        <v>0.06</v>
      </c>
      <c r="K280" s="1">
        <v>5260</v>
      </c>
      <c r="L280" s="1">
        <v>315.59999999999997</v>
      </c>
      <c r="M280" s="1">
        <v>4944.3999999999996</v>
      </c>
      <c r="N280" s="1">
        <v>789</v>
      </c>
      <c r="O280" s="1">
        <v>4155.3999999999996</v>
      </c>
      <c r="P280">
        <v>1</v>
      </c>
      <c r="Q280">
        <v>11</v>
      </c>
      <c r="R280">
        <v>2013</v>
      </c>
      <c r="S280" s="3">
        <v>41579</v>
      </c>
      <c r="T280" t="str">
        <f t="shared" si="4"/>
        <v>Low Discount</v>
      </c>
    </row>
    <row r="281" spans="1:20" x14ac:dyDescent="0.25">
      <c r="A281" t="s">
        <v>232</v>
      </c>
      <c r="B281" t="s">
        <v>26</v>
      </c>
      <c r="C281" t="s">
        <v>27</v>
      </c>
      <c r="D281" t="s">
        <v>46</v>
      </c>
      <c r="E281" t="s">
        <v>47</v>
      </c>
      <c r="F281" t="s">
        <v>24</v>
      </c>
      <c r="G281" s="1">
        <v>3</v>
      </c>
      <c r="H281" s="1">
        <v>20</v>
      </c>
      <c r="I281">
        <v>887</v>
      </c>
      <c r="J281" s="2">
        <v>0.06</v>
      </c>
      <c r="K281" s="1">
        <v>17740</v>
      </c>
      <c r="L281" s="1">
        <v>1064.3999999999999</v>
      </c>
      <c r="M281" s="1">
        <v>16675.599999999999</v>
      </c>
      <c r="N281" s="1">
        <v>2661</v>
      </c>
      <c r="O281" s="1">
        <v>14014.599999999999</v>
      </c>
      <c r="P281">
        <v>1</v>
      </c>
      <c r="Q281">
        <v>12</v>
      </c>
      <c r="R281">
        <v>2013</v>
      </c>
      <c r="S281" s="3">
        <v>41609</v>
      </c>
      <c r="T281" t="str">
        <f t="shared" si="4"/>
        <v>Low Discount</v>
      </c>
    </row>
    <row r="282" spans="1:20" x14ac:dyDescent="0.25">
      <c r="A282" t="s">
        <v>233</v>
      </c>
      <c r="B282" t="s">
        <v>35</v>
      </c>
      <c r="C282" t="s">
        <v>36</v>
      </c>
      <c r="D282" t="s">
        <v>22</v>
      </c>
      <c r="E282" t="s">
        <v>23</v>
      </c>
      <c r="F282" t="s">
        <v>39</v>
      </c>
      <c r="G282" s="1">
        <v>5</v>
      </c>
      <c r="H282" s="1">
        <v>15</v>
      </c>
      <c r="I282">
        <v>980</v>
      </c>
      <c r="J282" s="2">
        <v>0.06</v>
      </c>
      <c r="K282" s="1">
        <v>14700</v>
      </c>
      <c r="L282" s="1">
        <v>882</v>
      </c>
      <c r="M282" s="1">
        <v>13818</v>
      </c>
      <c r="N282" s="1">
        <v>4900</v>
      </c>
      <c r="O282" s="1">
        <v>8918</v>
      </c>
      <c r="P282">
        <v>1</v>
      </c>
      <c r="Q282">
        <v>4</v>
      </c>
      <c r="R282">
        <v>2014</v>
      </c>
      <c r="S282" s="3">
        <v>41730</v>
      </c>
      <c r="T282" t="str">
        <f t="shared" si="4"/>
        <v>Low Discount</v>
      </c>
    </row>
    <row r="283" spans="1:20" x14ac:dyDescent="0.25">
      <c r="A283" t="s">
        <v>234</v>
      </c>
      <c r="B283" t="s">
        <v>26</v>
      </c>
      <c r="C283" t="s">
        <v>27</v>
      </c>
      <c r="D283" t="s">
        <v>22</v>
      </c>
      <c r="E283" t="s">
        <v>23</v>
      </c>
      <c r="F283" t="s">
        <v>39</v>
      </c>
      <c r="G283" s="1">
        <v>5</v>
      </c>
      <c r="H283" s="1">
        <v>15</v>
      </c>
      <c r="I283">
        <v>1460</v>
      </c>
      <c r="J283" s="2">
        <v>0.06</v>
      </c>
      <c r="K283" s="1">
        <v>21900</v>
      </c>
      <c r="L283" s="1">
        <v>1314</v>
      </c>
      <c r="M283" s="1">
        <v>20586</v>
      </c>
      <c r="N283" s="1">
        <v>7300</v>
      </c>
      <c r="O283" s="1">
        <v>13286</v>
      </c>
      <c r="P283">
        <v>1</v>
      </c>
      <c r="Q283">
        <v>5</v>
      </c>
      <c r="R283">
        <v>2014</v>
      </c>
      <c r="S283" s="3">
        <v>41760</v>
      </c>
      <c r="T283" t="str">
        <f t="shared" si="4"/>
        <v>Low Discount</v>
      </c>
    </row>
    <row r="284" spans="1:20" x14ac:dyDescent="0.25">
      <c r="A284" t="s">
        <v>235</v>
      </c>
      <c r="B284" t="s">
        <v>29</v>
      </c>
      <c r="C284" t="s">
        <v>30</v>
      </c>
      <c r="D284" t="s">
        <v>22</v>
      </c>
      <c r="E284" t="s">
        <v>23</v>
      </c>
      <c r="F284" t="s">
        <v>39</v>
      </c>
      <c r="G284" s="1">
        <v>5</v>
      </c>
      <c r="H284" s="1">
        <v>15</v>
      </c>
      <c r="I284">
        <v>1403</v>
      </c>
      <c r="J284" s="2">
        <v>0.06</v>
      </c>
      <c r="K284" s="1">
        <v>21045</v>
      </c>
      <c r="L284" s="1">
        <v>1262.7</v>
      </c>
      <c r="M284" s="1">
        <v>19782.3</v>
      </c>
      <c r="N284" s="1">
        <v>7015</v>
      </c>
      <c r="O284" s="1">
        <v>12767.3</v>
      </c>
      <c r="P284">
        <v>1</v>
      </c>
      <c r="Q284">
        <v>10</v>
      </c>
      <c r="R284">
        <v>2013</v>
      </c>
      <c r="S284" s="3">
        <v>41548</v>
      </c>
      <c r="T284" t="str">
        <f t="shared" si="4"/>
        <v>Low Discount</v>
      </c>
    </row>
    <row r="285" spans="1:20" x14ac:dyDescent="0.25">
      <c r="A285" t="s">
        <v>236</v>
      </c>
      <c r="B285" t="s">
        <v>54</v>
      </c>
      <c r="C285" t="s">
        <v>55</v>
      </c>
      <c r="D285" t="s">
        <v>41</v>
      </c>
      <c r="E285" t="s">
        <v>42</v>
      </c>
      <c r="F285" t="s">
        <v>39</v>
      </c>
      <c r="G285" s="1">
        <v>5</v>
      </c>
      <c r="H285" s="1">
        <v>15</v>
      </c>
      <c r="I285">
        <v>2723</v>
      </c>
      <c r="J285" s="2">
        <v>0.06</v>
      </c>
      <c r="K285" s="1">
        <v>40845</v>
      </c>
      <c r="L285" s="1">
        <v>2450.6999999999998</v>
      </c>
      <c r="M285" s="1">
        <v>38394.300000000003</v>
      </c>
      <c r="N285" s="1">
        <v>13615</v>
      </c>
      <c r="O285" s="1">
        <v>24779.300000000003</v>
      </c>
      <c r="P285">
        <v>1</v>
      </c>
      <c r="Q285">
        <v>11</v>
      </c>
      <c r="R285">
        <v>2014</v>
      </c>
      <c r="S285" s="3">
        <v>41944</v>
      </c>
      <c r="T285" t="str">
        <f t="shared" si="4"/>
        <v>Low Discount</v>
      </c>
    </row>
    <row r="286" spans="1:20" x14ac:dyDescent="0.25">
      <c r="A286" t="s">
        <v>43</v>
      </c>
      <c r="B286" t="s">
        <v>29</v>
      </c>
      <c r="C286" t="s">
        <v>30</v>
      </c>
      <c r="D286" t="s">
        <v>22</v>
      </c>
      <c r="E286" t="s">
        <v>23</v>
      </c>
      <c r="F286" t="s">
        <v>57</v>
      </c>
      <c r="G286" s="1">
        <v>10</v>
      </c>
      <c r="H286" s="1">
        <v>20</v>
      </c>
      <c r="I286">
        <v>1496</v>
      </c>
      <c r="J286" s="2">
        <v>0.06</v>
      </c>
      <c r="K286" s="1">
        <v>29920</v>
      </c>
      <c r="L286" s="1">
        <v>1795.2</v>
      </c>
      <c r="M286" s="1">
        <v>28124.799999999999</v>
      </c>
      <c r="N286" s="1">
        <v>14960</v>
      </c>
      <c r="O286" s="1">
        <v>13164.8</v>
      </c>
      <c r="P286">
        <v>1</v>
      </c>
      <c r="Q286">
        <v>6</v>
      </c>
      <c r="R286">
        <v>2014</v>
      </c>
      <c r="S286" s="3">
        <v>41791</v>
      </c>
      <c r="T286" t="str">
        <f t="shared" si="4"/>
        <v>Low Discount</v>
      </c>
    </row>
    <row r="287" spans="1:20" x14ac:dyDescent="0.25">
      <c r="A287" t="s">
        <v>230</v>
      </c>
      <c r="B287" t="s">
        <v>20</v>
      </c>
      <c r="C287" t="s">
        <v>21</v>
      </c>
      <c r="D287" t="s">
        <v>41</v>
      </c>
      <c r="E287" t="s">
        <v>42</v>
      </c>
      <c r="F287" t="s">
        <v>57</v>
      </c>
      <c r="G287" s="1">
        <v>10</v>
      </c>
      <c r="H287" s="1">
        <v>20</v>
      </c>
      <c r="I287">
        <v>2299</v>
      </c>
      <c r="J287" s="2">
        <v>0.06</v>
      </c>
      <c r="K287" s="1">
        <v>45980</v>
      </c>
      <c r="L287" s="1">
        <v>2758.7999999999997</v>
      </c>
      <c r="M287" s="1">
        <v>43221.2</v>
      </c>
      <c r="N287" s="1">
        <v>22990</v>
      </c>
      <c r="O287" s="1">
        <v>20231.199999999997</v>
      </c>
      <c r="P287">
        <v>1</v>
      </c>
      <c r="Q287">
        <v>10</v>
      </c>
      <c r="R287">
        <v>2013</v>
      </c>
      <c r="S287" s="3">
        <v>41548</v>
      </c>
      <c r="T287" t="str">
        <f t="shared" si="4"/>
        <v>Low Discount</v>
      </c>
    </row>
    <row r="288" spans="1:20" x14ac:dyDescent="0.25">
      <c r="A288" t="s">
        <v>237</v>
      </c>
      <c r="B288" t="s">
        <v>54</v>
      </c>
      <c r="C288" t="s">
        <v>55</v>
      </c>
      <c r="D288" t="s">
        <v>22</v>
      </c>
      <c r="E288" t="s">
        <v>23</v>
      </c>
      <c r="F288" t="s">
        <v>57</v>
      </c>
      <c r="G288" s="1">
        <v>10</v>
      </c>
      <c r="H288" s="1">
        <v>20</v>
      </c>
      <c r="I288">
        <v>727</v>
      </c>
      <c r="J288" s="2">
        <v>0.06</v>
      </c>
      <c r="K288" s="1">
        <v>14540</v>
      </c>
      <c r="L288" s="1">
        <v>872.4</v>
      </c>
      <c r="M288" s="1">
        <v>13667.6</v>
      </c>
      <c r="N288" s="1">
        <v>7270</v>
      </c>
      <c r="O288" s="1">
        <v>6397.6</v>
      </c>
      <c r="P288">
        <v>1</v>
      </c>
      <c r="Q288">
        <v>10</v>
      </c>
      <c r="R288">
        <v>2013</v>
      </c>
      <c r="S288" s="3">
        <v>41548</v>
      </c>
      <c r="T288" t="str">
        <f t="shared" si="4"/>
        <v>Low Discount</v>
      </c>
    </row>
    <row r="289" spans="1:20" x14ac:dyDescent="0.25">
      <c r="A289" t="s">
        <v>238</v>
      </c>
      <c r="B289" t="s">
        <v>20</v>
      </c>
      <c r="C289" t="s">
        <v>21</v>
      </c>
      <c r="D289" t="s">
        <v>46</v>
      </c>
      <c r="E289" t="s">
        <v>47</v>
      </c>
      <c r="F289" t="s">
        <v>71</v>
      </c>
      <c r="G289" s="1">
        <v>120</v>
      </c>
      <c r="H289" s="1">
        <v>180</v>
      </c>
      <c r="I289">
        <v>952</v>
      </c>
      <c r="J289" s="2">
        <v>0.06</v>
      </c>
      <c r="K289" s="1">
        <v>171360</v>
      </c>
      <c r="L289" s="1">
        <v>10281.6</v>
      </c>
      <c r="M289" s="1">
        <v>161078.39999999999</v>
      </c>
      <c r="N289" s="1">
        <v>114240</v>
      </c>
      <c r="O289" s="1">
        <v>46838.399999999994</v>
      </c>
      <c r="P289">
        <v>1</v>
      </c>
      <c r="Q289">
        <v>2</v>
      </c>
      <c r="R289">
        <v>2014</v>
      </c>
      <c r="S289" s="3">
        <v>41671</v>
      </c>
      <c r="T289" t="str">
        <f t="shared" si="4"/>
        <v>Low Discount</v>
      </c>
    </row>
    <row r="290" spans="1:20" x14ac:dyDescent="0.25">
      <c r="A290" t="s">
        <v>239</v>
      </c>
      <c r="B290" t="s">
        <v>54</v>
      </c>
      <c r="C290" t="s">
        <v>55</v>
      </c>
      <c r="D290" t="s">
        <v>46</v>
      </c>
      <c r="E290" t="s">
        <v>47</v>
      </c>
      <c r="F290" t="s">
        <v>71</v>
      </c>
      <c r="G290" s="1">
        <v>120</v>
      </c>
      <c r="H290" s="1">
        <v>180</v>
      </c>
      <c r="I290">
        <v>2755</v>
      </c>
      <c r="J290" s="2">
        <v>0.06</v>
      </c>
      <c r="K290" s="1">
        <v>495900</v>
      </c>
      <c r="L290" s="1">
        <v>29754</v>
      </c>
      <c r="M290" s="1">
        <v>466146</v>
      </c>
      <c r="N290" s="1">
        <v>330600</v>
      </c>
      <c r="O290" s="1">
        <v>135546</v>
      </c>
      <c r="P290">
        <v>1</v>
      </c>
      <c r="Q290">
        <v>2</v>
      </c>
      <c r="R290">
        <v>2014</v>
      </c>
      <c r="S290" s="3">
        <v>41671</v>
      </c>
      <c r="T290" t="str">
        <f t="shared" si="4"/>
        <v>Low Discount</v>
      </c>
    </row>
    <row r="291" spans="1:20" x14ac:dyDescent="0.25">
      <c r="A291" t="s">
        <v>240</v>
      </c>
      <c r="B291" t="s">
        <v>26</v>
      </c>
      <c r="C291" t="s">
        <v>27</v>
      </c>
      <c r="D291" t="s">
        <v>31</v>
      </c>
      <c r="E291" t="s">
        <v>32</v>
      </c>
      <c r="F291" t="s">
        <v>71</v>
      </c>
      <c r="G291" s="1">
        <v>120</v>
      </c>
      <c r="H291" s="1">
        <v>180</v>
      </c>
      <c r="I291">
        <v>1530</v>
      </c>
      <c r="J291" s="2">
        <v>0.06</v>
      </c>
      <c r="K291" s="1">
        <v>275400</v>
      </c>
      <c r="L291" s="1">
        <v>16524</v>
      </c>
      <c r="M291" s="1">
        <v>258876</v>
      </c>
      <c r="N291" s="1">
        <v>183600</v>
      </c>
      <c r="O291" s="1">
        <v>75276</v>
      </c>
      <c r="P291">
        <v>1</v>
      </c>
      <c r="Q291">
        <v>5</v>
      </c>
      <c r="R291">
        <v>2014</v>
      </c>
      <c r="S291" s="3">
        <v>41760</v>
      </c>
      <c r="T291" t="str">
        <f t="shared" si="4"/>
        <v>Low Discount</v>
      </c>
    </row>
    <row r="292" spans="1:20" x14ac:dyDescent="0.25">
      <c r="A292" t="s">
        <v>43</v>
      </c>
      <c r="B292" t="s">
        <v>29</v>
      </c>
      <c r="C292" t="s">
        <v>30</v>
      </c>
      <c r="D292" t="s">
        <v>22</v>
      </c>
      <c r="E292" t="s">
        <v>23</v>
      </c>
      <c r="F292" t="s">
        <v>71</v>
      </c>
      <c r="G292" s="1">
        <v>120</v>
      </c>
      <c r="H292" s="1">
        <v>180</v>
      </c>
      <c r="I292">
        <v>1496</v>
      </c>
      <c r="J292" s="2">
        <v>0.06</v>
      </c>
      <c r="K292" s="1">
        <v>269280</v>
      </c>
      <c r="L292" s="1">
        <v>16156.8</v>
      </c>
      <c r="M292" s="1">
        <v>253123.20000000001</v>
      </c>
      <c r="N292" s="1">
        <v>179520</v>
      </c>
      <c r="O292" s="1">
        <v>73603.200000000012</v>
      </c>
      <c r="P292">
        <v>1</v>
      </c>
      <c r="Q292">
        <v>6</v>
      </c>
      <c r="R292">
        <v>2014</v>
      </c>
      <c r="S292" s="3">
        <v>41791</v>
      </c>
      <c r="T292" t="str">
        <f t="shared" si="4"/>
        <v>Low Discount</v>
      </c>
    </row>
    <row r="293" spans="1:20" x14ac:dyDescent="0.25">
      <c r="A293" t="s">
        <v>241</v>
      </c>
      <c r="B293" t="s">
        <v>35</v>
      </c>
      <c r="C293" t="s">
        <v>36</v>
      </c>
      <c r="D293" t="s">
        <v>22</v>
      </c>
      <c r="E293" t="s">
        <v>23</v>
      </c>
      <c r="F293" t="s">
        <v>71</v>
      </c>
      <c r="G293" s="1">
        <v>120</v>
      </c>
      <c r="H293" s="1">
        <v>180</v>
      </c>
      <c r="I293">
        <v>1498</v>
      </c>
      <c r="J293" s="2">
        <v>0.06</v>
      </c>
      <c r="K293" s="1">
        <v>269640</v>
      </c>
      <c r="L293" s="1">
        <v>16178.4</v>
      </c>
      <c r="M293" s="1">
        <v>253461.6</v>
      </c>
      <c r="N293" s="1">
        <v>179760</v>
      </c>
      <c r="O293" s="1">
        <v>73701.600000000006</v>
      </c>
      <c r="P293">
        <v>1</v>
      </c>
      <c r="Q293">
        <v>6</v>
      </c>
      <c r="R293">
        <v>2014</v>
      </c>
      <c r="S293" s="3">
        <v>41791</v>
      </c>
      <c r="T293" t="str">
        <f t="shared" si="4"/>
        <v>Low Discount</v>
      </c>
    </row>
    <row r="294" spans="1:20" x14ac:dyDescent="0.25">
      <c r="A294" t="s">
        <v>242</v>
      </c>
      <c r="B294" t="s">
        <v>29</v>
      </c>
      <c r="C294" t="s">
        <v>30</v>
      </c>
      <c r="D294" t="s">
        <v>49</v>
      </c>
      <c r="E294" t="s">
        <v>50</v>
      </c>
      <c r="F294" t="s">
        <v>71</v>
      </c>
      <c r="G294" s="1">
        <v>120</v>
      </c>
      <c r="H294" s="1">
        <v>180</v>
      </c>
      <c r="I294">
        <v>1221</v>
      </c>
      <c r="J294" s="2">
        <v>0.06</v>
      </c>
      <c r="K294" s="1">
        <v>219780</v>
      </c>
      <c r="L294" s="1">
        <v>13186.8</v>
      </c>
      <c r="M294" s="1">
        <v>206593.2</v>
      </c>
      <c r="N294" s="1">
        <v>146520</v>
      </c>
      <c r="O294" s="1">
        <v>60073.200000000012</v>
      </c>
      <c r="P294">
        <v>1</v>
      </c>
      <c r="Q294">
        <v>10</v>
      </c>
      <c r="R294">
        <v>2013</v>
      </c>
      <c r="S294" s="3">
        <v>41548</v>
      </c>
      <c r="T294" t="str">
        <f t="shared" si="4"/>
        <v>Low Discount</v>
      </c>
    </row>
    <row r="295" spans="1:20" x14ac:dyDescent="0.25">
      <c r="A295" t="s">
        <v>235</v>
      </c>
      <c r="B295" t="s">
        <v>29</v>
      </c>
      <c r="C295" t="s">
        <v>30</v>
      </c>
      <c r="D295" t="s">
        <v>22</v>
      </c>
      <c r="E295" t="s">
        <v>23</v>
      </c>
      <c r="F295" t="s">
        <v>71</v>
      </c>
      <c r="G295" s="1">
        <v>120</v>
      </c>
      <c r="H295" s="1">
        <v>180</v>
      </c>
      <c r="I295">
        <v>2076</v>
      </c>
      <c r="J295" s="2">
        <v>0.06</v>
      </c>
      <c r="K295" s="1">
        <v>373680</v>
      </c>
      <c r="L295" s="1">
        <v>22420.799999999999</v>
      </c>
      <c r="M295" s="1">
        <v>351259.2</v>
      </c>
      <c r="N295" s="1">
        <v>249120</v>
      </c>
      <c r="O295" s="1">
        <v>102139.20000000001</v>
      </c>
      <c r="P295">
        <v>1</v>
      </c>
      <c r="Q295">
        <v>10</v>
      </c>
      <c r="R295">
        <v>2013</v>
      </c>
      <c r="S295" s="3">
        <v>41548</v>
      </c>
      <c r="T295" t="str">
        <f t="shared" si="4"/>
        <v>Low Discount</v>
      </c>
    </row>
    <row r="296" spans="1:20" x14ac:dyDescent="0.25">
      <c r="A296" t="s">
        <v>228</v>
      </c>
      <c r="B296" t="s">
        <v>20</v>
      </c>
      <c r="C296" t="s">
        <v>21</v>
      </c>
      <c r="D296" t="s">
        <v>31</v>
      </c>
      <c r="E296" t="s">
        <v>32</v>
      </c>
      <c r="F296" t="s">
        <v>76</v>
      </c>
      <c r="G296" s="1">
        <v>250</v>
      </c>
      <c r="H296" s="1">
        <v>300</v>
      </c>
      <c r="I296">
        <v>2844</v>
      </c>
      <c r="J296" s="2">
        <v>0.06</v>
      </c>
      <c r="K296" s="1">
        <v>853200</v>
      </c>
      <c r="L296" s="1">
        <v>51192</v>
      </c>
      <c r="M296" s="1">
        <v>802008</v>
      </c>
      <c r="N296" s="1">
        <v>711000</v>
      </c>
      <c r="O296" s="1">
        <v>91008</v>
      </c>
      <c r="P296">
        <v>1</v>
      </c>
      <c r="Q296">
        <v>6</v>
      </c>
      <c r="R296">
        <v>2014</v>
      </c>
      <c r="S296" s="3">
        <v>41791</v>
      </c>
      <c r="T296" t="str">
        <f t="shared" si="4"/>
        <v>Low Discount</v>
      </c>
    </row>
    <row r="297" spans="1:20" x14ac:dyDescent="0.25">
      <c r="A297" t="s">
        <v>241</v>
      </c>
      <c r="B297" t="s">
        <v>35</v>
      </c>
      <c r="C297" t="s">
        <v>36</v>
      </c>
      <c r="D297" t="s">
        <v>22</v>
      </c>
      <c r="E297" t="s">
        <v>23</v>
      </c>
      <c r="F297" t="s">
        <v>76</v>
      </c>
      <c r="G297" s="1">
        <v>250</v>
      </c>
      <c r="H297" s="1">
        <v>300</v>
      </c>
      <c r="I297">
        <v>1498</v>
      </c>
      <c r="J297" s="2">
        <v>0.06</v>
      </c>
      <c r="K297" s="1">
        <v>449400</v>
      </c>
      <c r="L297" s="1">
        <v>26964</v>
      </c>
      <c r="M297" s="1">
        <v>422436</v>
      </c>
      <c r="N297" s="1">
        <v>374500</v>
      </c>
      <c r="O297" s="1">
        <v>47936</v>
      </c>
      <c r="P297">
        <v>1</v>
      </c>
      <c r="Q297">
        <v>6</v>
      </c>
      <c r="R297">
        <v>2014</v>
      </c>
      <c r="S297" s="3">
        <v>41791</v>
      </c>
      <c r="T297" t="str">
        <f t="shared" si="4"/>
        <v>Low Discount</v>
      </c>
    </row>
    <row r="298" spans="1:20" x14ac:dyDescent="0.25">
      <c r="A298" t="s">
        <v>242</v>
      </c>
      <c r="B298" t="s">
        <v>29</v>
      </c>
      <c r="C298" t="s">
        <v>30</v>
      </c>
      <c r="D298" t="s">
        <v>49</v>
      </c>
      <c r="E298" t="s">
        <v>50</v>
      </c>
      <c r="F298" t="s">
        <v>76</v>
      </c>
      <c r="G298" s="1">
        <v>250</v>
      </c>
      <c r="H298" s="1">
        <v>300</v>
      </c>
      <c r="I298">
        <v>1221</v>
      </c>
      <c r="J298" s="2">
        <v>0.06</v>
      </c>
      <c r="K298" s="1">
        <v>366300</v>
      </c>
      <c r="L298" s="1">
        <v>21978</v>
      </c>
      <c r="M298" s="1">
        <v>344322</v>
      </c>
      <c r="N298" s="1">
        <v>305250</v>
      </c>
      <c r="O298" s="1">
        <v>39072</v>
      </c>
      <c r="P298">
        <v>1</v>
      </c>
      <c r="Q298">
        <v>10</v>
      </c>
      <c r="R298">
        <v>2013</v>
      </c>
      <c r="S298" s="3">
        <v>41548</v>
      </c>
      <c r="T298" t="str">
        <f t="shared" si="4"/>
        <v>Low Discount</v>
      </c>
    </row>
    <row r="299" spans="1:20" x14ac:dyDescent="0.25">
      <c r="A299" t="s">
        <v>243</v>
      </c>
      <c r="B299" t="s">
        <v>35</v>
      </c>
      <c r="C299" t="s">
        <v>36</v>
      </c>
      <c r="D299" t="s">
        <v>22</v>
      </c>
      <c r="E299" t="s">
        <v>23</v>
      </c>
      <c r="F299" t="s">
        <v>76</v>
      </c>
      <c r="G299" s="1">
        <v>250</v>
      </c>
      <c r="H299" s="1">
        <v>300</v>
      </c>
      <c r="I299">
        <v>1123</v>
      </c>
      <c r="J299" s="2">
        <v>0.06</v>
      </c>
      <c r="K299" s="1">
        <v>336900</v>
      </c>
      <c r="L299" s="1">
        <v>20214</v>
      </c>
      <c r="M299" s="1">
        <v>316686</v>
      </c>
      <c r="N299" s="1">
        <v>280750</v>
      </c>
      <c r="O299" s="1">
        <v>35936</v>
      </c>
      <c r="P299">
        <v>1</v>
      </c>
      <c r="Q299">
        <v>11</v>
      </c>
      <c r="R299">
        <v>2013</v>
      </c>
      <c r="S299" s="3">
        <v>41579</v>
      </c>
      <c r="T299" t="str">
        <f t="shared" si="4"/>
        <v>Low Discount</v>
      </c>
    </row>
    <row r="300" spans="1:20" x14ac:dyDescent="0.25">
      <c r="A300" t="s">
        <v>244</v>
      </c>
      <c r="B300" t="s">
        <v>20</v>
      </c>
      <c r="C300" t="s">
        <v>21</v>
      </c>
      <c r="D300" t="s">
        <v>49</v>
      </c>
      <c r="E300" t="s">
        <v>50</v>
      </c>
      <c r="F300" t="s">
        <v>76</v>
      </c>
      <c r="G300" s="1">
        <v>250</v>
      </c>
      <c r="H300" s="1">
        <v>300</v>
      </c>
      <c r="I300">
        <v>2436</v>
      </c>
      <c r="J300" s="2">
        <v>0.06</v>
      </c>
      <c r="K300" s="1">
        <v>730800</v>
      </c>
      <c r="L300" s="1">
        <v>43848</v>
      </c>
      <c r="M300" s="1">
        <v>686952</v>
      </c>
      <c r="N300" s="1">
        <v>609000</v>
      </c>
      <c r="O300" s="1">
        <v>77952</v>
      </c>
      <c r="P300">
        <v>1</v>
      </c>
      <c r="Q300">
        <v>12</v>
      </c>
      <c r="R300">
        <v>2013</v>
      </c>
      <c r="S300" s="3">
        <v>41609</v>
      </c>
      <c r="T300" t="str">
        <f t="shared" si="4"/>
        <v>Low Discount</v>
      </c>
    </row>
    <row r="301" spans="1:20" x14ac:dyDescent="0.25">
      <c r="A301" t="s">
        <v>245</v>
      </c>
      <c r="B301" t="s">
        <v>29</v>
      </c>
      <c r="C301" t="s">
        <v>30</v>
      </c>
      <c r="D301" t="s">
        <v>46</v>
      </c>
      <c r="E301" t="s">
        <v>47</v>
      </c>
      <c r="F301" t="s">
        <v>81</v>
      </c>
      <c r="G301" s="1">
        <v>200</v>
      </c>
      <c r="H301" s="1">
        <v>350</v>
      </c>
      <c r="I301">
        <v>1987</v>
      </c>
      <c r="J301" s="2">
        <v>6.0015098137896329E-2</v>
      </c>
      <c r="K301" s="1">
        <v>695450</v>
      </c>
      <c r="L301" s="1">
        <v>41737.5</v>
      </c>
      <c r="M301" s="1">
        <v>653712.5</v>
      </c>
      <c r="N301" s="1">
        <v>397400</v>
      </c>
      <c r="O301" s="1">
        <v>256312.5</v>
      </c>
      <c r="P301">
        <v>1</v>
      </c>
      <c r="Q301">
        <v>1</v>
      </c>
      <c r="R301">
        <v>2014</v>
      </c>
      <c r="S301" s="3">
        <v>41640</v>
      </c>
      <c r="T301" t="str">
        <f t="shared" si="4"/>
        <v>Mid Discount</v>
      </c>
    </row>
    <row r="302" spans="1:20" x14ac:dyDescent="0.25">
      <c r="A302" t="s">
        <v>246</v>
      </c>
      <c r="B302" t="s">
        <v>35</v>
      </c>
      <c r="C302" t="s">
        <v>36</v>
      </c>
      <c r="D302" t="s">
        <v>22</v>
      </c>
      <c r="E302" t="s">
        <v>23</v>
      </c>
      <c r="F302" t="s">
        <v>81</v>
      </c>
      <c r="G302" s="1">
        <v>200</v>
      </c>
      <c r="H302" s="1">
        <v>350</v>
      </c>
      <c r="I302">
        <v>1679</v>
      </c>
      <c r="J302" s="2">
        <v>0.06</v>
      </c>
      <c r="K302" s="1">
        <v>587650</v>
      </c>
      <c r="L302" s="1">
        <v>35259</v>
      </c>
      <c r="M302" s="1">
        <v>552391</v>
      </c>
      <c r="N302" s="1">
        <v>335800</v>
      </c>
      <c r="O302" s="1">
        <v>216591</v>
      </c>
      <c r="P302">
        <v>1</v>
      </c>
      <c r="Q302">
        <v>9</v>
      </c>
      <c r="R302">
        <v>2014</v>
      </c>
      <c r="S302" s="3">
        <v>41883</v>
      </c>
      <c r="T302" t="str">
        <f t="shared" si="4"/>
        <v>Low Discount</v>
      </c>
    </row>
    <row r="303" spans="1:20" x14ac:dyDescent="0.25">
      <c r="A303" t="s">
        <v>237</v>
      </c>
      <c r="B303" t="s">
        <v>54</v>
      </c>
      <c r="C303" t="s">
        <v>55</v>
      </c>
      <c r="D303" t="s">
        <v>22</v>
      </c>
      <c r="E303" t="s">
        <v>23</v>
      </c>
      <c r="F303" t="s">
        <v>81</v>
      </c>
      <c r="G303" s="1">
        <v>200</v>
      </c>
      <c r="H303" s="1">
        <v>350</v>
      </c>
      <c r="I303">
        <v>727</v>
      </c>
      <c r="J303" s="2">
        <v>0.06</v>
      </c>
      <c r="K303" s="1">
        <v>254450</v>
      </c>
      <c r="L303" s="1">
        <v>15267</v>
      </c>
      <c r="M303" s="1">
        <v>239183</v>
      </c>
      <c r="N303" s="1">
        <v>145400</v>
      </c>
      <c r="O303" s="1">
        <v>93783</v>
      </c>
      <c r="P303">
        <v>1</v>
      </c>
      <c r="Q303">
        <v>10</v>
      </c>
      <c r="R303">
        <v>2013</v>
      </c>
      <c r="S303" s="3">
        <v>41548</v>
      </c>
      <c r="T303" t="str">
        <f t="shared" si="4"/>
        <v>Low Discount</v>
      </c>
    </row>
    <row r="304" spans="1:20" x14ac:dyDescent="0.25">
      <c r="A304" t="s">
        <v>235</v>
      </c>
      <c r="B304" t="s">
        <v>29</v>
      </c>
      <c r="C304" t="s">
        <v>30</v>
      </c>
      <c r="D304" t="s">
        <v>22</v>
      </c>
      <c r="E304" t="s">
        <v>23</v>
      </c>
      <c r="F304" t="s">
        <v>81</v>
      </c>
      <c r="G304" s="1">
        <v>200</v>
      </c>
      <c r="H304" s="1">
        <v>350</v>
      </c>
      <c r="I304">
        <v>1403</v>
      </c>
      <c r="J304" s="2">
        <v>0.06</v>
      </c>
      <c r="K304" s="1">
        <v>491050</v>
      </c>
      <c r="L304" s="1">
        <v>29463</v>
      </c>
      <c r="M304" s="1">
        <v>461587</v>
      </c>
      <c r="N304" s="1">
        <v>280600</v>
      </c>
      <c r="O304" s="1">
        <v>180987</v>
      </c>
      <c r="P304">
        <v>1</v>
      </c>
      <c r="Q304">
        <v>10</v>
      </c>
      <c r="R304">
        <v>2013</v>
      </c>
      <c r="S304" s="3">
        <v>41548</v>
      </c>
      <c r="T304" t="str">
        <f t="shared" si="4"/>
        <v>Low Discount</v>
      </c>
    </row>
    <row r="305" spans="1:20" x14ac:dyDescent="0.25">
      <c r="A305" t="s">
        <v>235</v>
      </c>
      <c r="B305" t="s">
        <v>29</v>
      </c>
      <c r="C305" t="s">
        <v>30</v>
      </c>
      <c r="D305" t="s">
        <v>22</v>
      </c>
      <c r="E305" t="s">
        <v>23</v>
      </c>
      <c r="F305" t="s">
        <v>81</v>
      </c>
      <c r="G305" s="1">
        <v>200</v>
      </c>
      <c r="H305" s="1">
        <v>350</v>
      </c>
      <c r="I305">
        <v>2076</v>
      </c>
      <c r="J305" s="2">
        <v>0.06</v>
      </c>
      <c r="K305" s="1">
        <v>726600</v>
      </c>
      <c r="L305" s="1">
        <v>43596</v>
      </c>
      <c r="M305" s="1">
        <v>683004</v>
      </c>
      <c r="N305" s="1">
        <v>415200</v>
      </c>
      <c r="O305" s="1">
        <v>267804</v>
      </c>
      <c r="P305">
        <v>1</v>
      </c>
      <c r="Q305">
        <v>10</v>
      </c>
      <c r="R305">
        <v>2013</v>
      </c>
      <c r="S305" s="3">
        <v>41548</v>
      </c>
      <c r="T305" t="str">
        <f t="shared" si="4"/>
        <v>Low Discount</v>
      </c>
    </row>
    <row r="306" spans="1:20" x14ac:dyDescent="0.25">
      <c r="A306" t="s">
        <v>235</v>
      </c>
      <c r="B306" t="s">
        <v>29</v>
      </c>
      <c r="C306" t="s">
        <v>30</v>
      </c>
      <c r="D306" t="s">
        <v>22</v>
      </c>
      <c r="E306" t="s">
        <v>23</v>
      </c>
      <c r="F306" t="s">
        <v>39</v>
      </c>
      <c r="G306" s="1">
        <v>5</v>
      </c>
      <c r="H306" s="1">
        <v>15</v>
      </c>
      <c r="I306">
        <v>1757</v>
      </c>
      <c r="J306" s="2">
        <v>6.0000000000000005E-2</v>
      </c>
      <c r="K306" s="1">
        <v>26355</v>
      </c>
      <c r="L306" s="1">
        <v>1581.3000000000002</v>
      </c>
      <c r="M306" s="1">
        <v>24773.7</v>
      </c>
      <c r="N306" s="1">
        <v>8785</v>
      </c>
      <c r="O306" s="1">
        <v>15988.7</v>
      </c>
      <c r="P306">
        <v>1</v>
      </c>
      <c r="Q306">
        <v>10</v>
      </c>
      <c r="R306">
        <v>2013</v>
      </c>
      <c r="S306" s="3">
        <v>41548</v>
      </c>
      <c r="T306" t="str">
        <f t="shared" si="4"/>
        <v>Low Discount</v>
      </c>
    </row>
    <row r="307" spans="1:20" x14ac:dyDescent="0.25">
      <c r="A307" t="s">
        <v>247</v>
      </c>
      <c r="B307" t="s">
        <v>54</v>
      </c>
      <c r="C307" t="s">
        <v>55</v>
      </c>
      <c r="D307" t="s">
        <v>31</v>
      </c>
      <c r="E307" t="s">
        <v>32</v>
      </c>
      <c r="F307" t="s">
        <v>57</v>
      </c>
      <c r="G307" s="1">
        <v>10</v>
      </c>
      <c r="H307" s="1">
        <v>20</v>
      </c>
      <c r="I307">
        <v>2198</v>
      </c>
      <c r="J307" s="2">
        <v>6.0000000000000005E-2</v>
      </c>
      <c r="K307" s="1">
        <v>43960</v>
      </c>
      <c r="L307" s="1">
        <v>2637.6000000000004</v>
      </c>
      <c r="M307" s="1">
        <v>41322.400000000001</v>
      </c>
      <c r="N307" s="1">
        <v>21980</v>
      </c>
      <c r="O307" s="1">
        <v>19342.400000000001</v>
      </c>
      <c r="P307">
        <v>1</v>
      </c>
      <c r="Q307">
        <v>8</v>
      </c>
      <c r="R307">
        <v>2014</v>
      </c>
      <c r="S307" s="3">
        <v>41852</v>
      </c>
      <c r="T307" t="str">
        <f t="shared" si="4"/>
        <v>Low Discount</v>
      </c>
    </row>
    <row r="308" spans="1:20" x14ac:dyDescent="0.25">
      <c r="A308" t="s">
        <v>248</v>
      </c>
      <c r="B308" t="s">
        <v>26</v>
      </c>
      <c r="C308" t="s">
        <v>27</v>
      </c>
      <c r="D308" t="s">
        <v>31</v>
      </c>
      <c r="E308" t="s">
        <v>32</v>
      </c>
      <c r="F308" t="s">
        <v>57</v>
      </c>
      <c r="G308" s="1">
        <v>10</v>
      </c>
      <c r="H308" s="1">
        <v>20</v>
      </c>
      <c r="I308">
        <v>1743</v>
      </c>
      <c r="J308" s="2">
        <v>6.0000000000000005E-2</v>
      </c>
      <c r="K308" s="1">
        <v>34860</v>
      </c>
      <c r="L308" s="1">
        <v>2091.6000000000004</v>
      </c>
      <c r="M308" s="1">
        <v>32768.400000000001</v>
      </c>
      <c r="N308" s="1">
        <v>17430</v>
      </c>
      <c r="O308" s="1">
        <v>15338.400000000001</v>
      </c>
      <c r="P308">
        <v>1</v>
      </c>
      <c r="Q308">
        <v>8</v>
      </c>
      <c r="R308">
        <v>2014</v>
      </c>
      <c r="S308" s="3">
        <v>41852</v>
      </c>
      <c r="T308" t="str">
        <f t="shared" si="4"/>
        <v>Low Discount</v>
      </c>
    </row>
    <row r="309" spans="1:20" x14ac:dyDescent="0.25">
      <c r="A309" t="s">
        <v>249</v>
      </c>
      <c r="B309" t="s">
        <v>54</v>
      </c>
      <c r="C309" t="s">
        <v>55</v>
      </c>
      <c r="D309" t="s">
        <v>31</v>
      </c>
      <c r="E309" t="s">
        <v>32</v>
      </c>
      <c r="F309" t="s">
        <v>57</v>
      </c>
      <c r="G309" s="1">
        <v>10</v>
      </c>
      <c r="H309" s="1">
        <v>20</v>
      </c>
      <c r="I309">
        <v>1153</v>
      </c>
      <c r="J309" s="2">
        <v>6.0000000000000005E-2</v>
      </c>
      <c r="K309" s="1">
        <v>23060</v>
      </c>
      <c r="L309" s="1">
        <v>1383.6000000000001</v>
      </c>
      <c r="M309" s="1">
        <v>21676.400000000001</v>
      </c>
      <c r="N309" s="1">
        <v>11530</v>
      </c>
      <c r="O309" s="1">
        <v>10146.400000000001</v>
      </c>
      <c r="P309">
        <v>1</v>
      </c>
      <c r="Q309">
        <v>10</v>
      </c>
      <c r="R309">
        <v>2014</v>
      </c>
      <c r="S309" s="3">
        <v>41913</v>
      </c>
      <c r="T309" t="str">
        <f t="shared" si="4"/>
        <v>Low Discount</v>
      </c>
    </row>
    <row r="310" spans="1:20" x14ac:dyDescent="0.25">
      <c r="A310" t="s">
        <v>235</v>
      </c>
      <c r="B310" t="s">
        <v>29</v>
      </c>
      <c r="C310" t="s">
        <v>30</v>
      </c>
      <c r="D310" t="s">
        <v>22</v>
      </c>
      <c r="E310" t="s">
        <v>23</v>
      </c>
      <c r="F310" t="s">
        <v>57</v>
      </c>
      <c r="G310" s="1">
        <v>10</v>
      </c>
      <c r="H310" s="1">
        <v>20</v>
      </c>
      <c r="I310">
        <v>1757</v>
      </c>
      <c r="J310" s="2">
        <v>6.0000000000000005E-2</v>
      </c>
      <c r="K310" s="1">
        <v>35140</v>
      </c>
      <c r="L310" s="1">
        <v>2108.4</v>
      </c>
      <c r="M310" s="1">
        <v>33031.599999999999</v>
      </c>
      <c r="N310" s="1">
        <v>17570</v>
      </c>
      <c r="O310" s="1">
        <v>15461.599999999999</v>
      </c>
      <c r="P310">
        <v>1</v>
      </c>
      <c r="Q310">
        <v>10</v>
      </c>
      <c r="R310">
        <v>2013</v>
      </c>
      <c r="S310" s="3">
        <v>41548</v>
      </c>
      <c r="T310" t="str">
        <f t="shared" si="4"/>
        <v>Low Discount</v>
      </c>
    </row>
    <row r="311" spans="1:20" x14ac:dyDescent="0.25">
      <c r="A311" t="s">
        <v>250</v>
      </c>
      <c r="B311" t="s">
        <v>26</v>
      </c>
      <c r="C311" t="s">
        <v>27</v>
      </c>
      <c r="D311" t="s">
        <v>22</v>
      </c>
      <c r="E311" t="s">
        <v>23</v>
      </c>
      <c r="F311" t="s">
        <v>71</v>
      </c>
      <c r="G311" s="1">
        <v>120</v>
      </c>
      <c r="H311" s="1">
        <v>180</v>
      </c>
      <c r="I311">
        <v>1001</v>
      </c>
      <c r="J311" s="2">
        <v>6.0000000000000005E-2</v>
      </c>
      <c r="K311" s="1">
        <v>180180</v>
      </c>
      <c r="L311" s="1">
        <v>10810.800000000001</v>
      </c>
      <c r="M311" s="1">
        <v>169369.2</v>
      </c>
      <c r="N311" s="1">
        <v>120120</v>
      </c>
      <c r="O311" s="1">
        <v>49249.200000000012</v>
      </c>
      <c r="P311">
        <v>1</v>
      </c>
      <c r="Q311">
        <v>8</v>
      </c>
      <c r="R311">
        <v>2014</v>
      </c>
      <c r="S311" s="3">
        <v>41852</v>
      </c>
      <c r="T311" t="str">
        <f t="shared" si="4"/>
        <v>Low Discount</v>
      </c>
    </row>
    <row r="312" spans="1:20" x14ac:dyDescent="0.25">
      <c r="A312" t="s">
        <v>251</v>
      </c>
      <c r="B312" t="s">
        <v>35</v>
      </c>
      <c r="C312" t="s">
        <v>36</v>
      </c>
      <c r="D312" t="s">
        <v>22</v>
      </c>
      <c r="E312" t="s">
        <v>23</v>
      </c>
      <c r="F312" t="s">
        <v>71</v>
      </c>
      <c r="G312" s="1">
        <v>120</v>
      </c>
      <c r="H312" s="1">
        <v>180</v>
      </c>
      <c r="I312">
        <v>1333</v>
      </c>
      <c r="J312" s="2">
        <v>6.0000000000000005E-2</v>
      </c>
      <c r="K312" s="1">
        <v>239940</v>
      </c>
      <c r="L312" s="1">
        <v>14396.400000000001</v>
      </c>
      <c r="M312" s="1">
        <v>225543.6</v>
      </c>
      <c r="N312" s="1">
        <v>159960</v>
      </c>
      <c r="O312" s="1">
        <v>65583.600000000006</v>
      </c>
      <c r="P312">
        <v>1</v>
      </c>
      <c r="Q312">
        <v>11</v>
      </c>
      <c r="R312">
        <v>2014</v>
      </c>
      <c r="S312" s="3">
        <v>41944</v>
      </c>
      <c r="T312" t="str">
        <f t="shared" si="4"/>
        <v>Low Discount</v>
      </c>
    </row>
    <row r="313" spans="1:20" x14ac:dyDescent="0.25">
      <c r="A313" t="s">
        <v>249</v>
      </c>
      <c r="B313" t="s">
        <v>54</v>
      </c>
      <c r="C313" t="s">
        <v>55</v>
      </c>
      <c r="D313" t="s">
        <v>31</v>
      </c>
      <c r="E313" t="s">
        <v>32</v>
      </c>
      <c r="F313" t="s">
        <v>76</v>
      </c>
      <c r="G313" s="1">
        <v>250</v>
      </c>
      <c r="H313" s="1">
        <v>300</v>
      </c>
      <c r="I313">
        <v>1153</v>
      </c>
      <c r="J313" s="2">
        <v>6.0000000000000005E-2</v>
      </c>
      <c r="K313" s="1">
        <v>345900</v>
      </c>
      <c r="L313" s="1">
        <v>20754</v>
      </c>
      <c r="M313" s="1">
        <v>325146</v>
      </c>
      <c r="N313" s="1">
        <v>288250</v>
      </c>
      <c r="O313" s="1">
        <v>36896</v>
      </c>
      <c r="P313">
        <v>1</v>
      </c>
      <c r="Q313">
        <v>10</v>
      </c>
      <c r="R313">
        <v>2014</v>
      </c>
      <c r="S313" s="3">
        <v>41913</v>
      </c>
      <c r="T313" t="str">
        <f t="shared" si="4"/>
        <v>Low Discount</v>
      </c>
    </row>
    <row r="314" spans="1:20" x14ac:dyDescent="0.25">
      <c r="A314" t="s">
        <v>252</v>
      </c>
      <c r="B314" t="s">
        <v>35</v>
      </c>
      <c r="C314" t="s">
        <v>36</v>
      </c>
      <c r="D314" t="s">
        <v>41</v>
      </c>
      <c r="E314" t="s">
        <v>42</v>
      </c>
      <c r="F314" t="s">
        <v>24</v>
      </c>
      <c r="G314" s="1">
        <v>3</v>
      </c>
      <c r="H314" s="1">
        <v>20</v>
      </c>
      <c r="I314">
        <v>727</v>
      </c>
      <c r="J314" s="2">
        <v>6.9999999999999993E-2</v>
      </c>
      <c r="K314" s="1">
        <v>14540</v>
      </c>
      <c r="L314" s="1">
        <v>1017.7999999999998</v>
      </c>
      <c r="M314" s="1">
        <v>13522.2</v>
      </c>
      <c r="N314" s="1">
        <v>2181</v>
      </c>
      <c r="O314" s="1">
        <v>11341.2</v>
      </c>
      <c r="P314">
        <v>1</v>
      </c>
      <c r="Q314">
        <v>2</v>
      </c>
      <c r="R314">
        <v>2014</v>
      </c>
      <c r="S314" s="3">
        <v>41671</v>
      </c>
      <c r="T314" t="str">
        <f t="shared" si="4"/>
        <v>Mid Discount</v>
      </c>
    </row>
    <row r="315" spans="1:20" x14ac:dyDescent="0.25">
      <c r="A315" t="s">
        <v>253</v>
      </c>
      <c r="B315" t="s">
        <v>20</v>
      </c>
      <c r="C315" t="s">
        <v>21</v>
      </c>
      <c r="D315" t="s">
        <v>41</v>
      </c>
      <c r="E315" t="s">
        <v>42</v>
      </c>
      <c r="F315" t="s">
        <v>24</v>
      </c>
      <c r="G315" s="1">
        <v>3</v>
      </c>
      <c r="H315" s="1">
        <v>20</v>
      </c>
      <c r="I315">
        <v>1884</v>
      </c>
      <c r="J315" s="2">
        <v>6.9999999999999993E-2</v>
      </c>
      <c r="K315" s="1">
        <v>37680</v>
      </c>
      <c r="L315" s="1">
        <v>2637.6</v>
      </c>
      <c r="M315" s="1">
        <v>35042.400000000001</v>
      </c>
      <c r="N315" s="1">
        <v>5652</v>
      </c>
      <c r="O315" s="1">
        <v>29390.400000000001</v>
      </c>
      <c r="P315">
        <v>1</v>
      </c>
      <c r="Q315">
        <v>8</v>
      </c>
      <c r="R315">
        <v>2014</v>
      </c>
      <c r="S315" s="3">
        <v>41852</v>
      </c>
      <c r="T315" t="str">
        <f t="shared" si="4"/>
        <v>Mid Discount</v>
      </c>
    </row>
    <row r="316" spans="1:20" x14ac:dyDescent="0.25">
      <c r="A316" t="s">
        <v>171</v>
      </c>
      <c r="B316" t="s">
        <v>35</v>
      </c>
      <c r="C316" t="s">
        <v>36</v>
      </c>
      <c r="D316" t="s">
        <v>22</v>
      </c>
      <c r="E316" t="s">
        <v>23</v>
      </c>
      <c r="F316" t="s">
        <v>24</v>
      </c>
      <c r="G316" s="1">
        <v>3</v>
      </c>
      <c r="H316" s="1">
        <v>20</v>
      </c>
      <c r="I316">
        <v>1834</v>
      </c>
      <c r="J316" s="2">
        <v>6.9999999999999993E-2</v>
      </c>
      <c r="K316" s="1">
        <v>36680</v>
      </c>
      <c r="L316" s="1">
        <v>2567.6</v>
      </c>
      <c r="M316" s="1">
        <v>34112.400000000001</v>
      </c>
      <c r="N316" s="1">
        <v>5502</v>
      </c>
      <c r="O316" s="1">
        <v>28610.400000000001</v>
      </c>
      <c r="P316">
        <v>1</v>
      </c>
      <c r="Q316">
        <v>9</v>
      </c>
      <c r="R316">
        <v>2013</v>
      </c>
      <c r="S316" s="3">
        <v>41518</v>
      </c>
      <c r="T316" t="str">
        <f t="shared" si="4"/>
        <v>Mid Discount</v>
      </c>
    </row>
    <row r="317" spans="1:20" x14ac:dyDescent="0.25">
      <c r="A317" t="s">
        <v>254</v>
      </c>
      <c r="B317" t="s">
        <v>35</v>
      </c>
      <c r="C317" t="s">
        <v>36</v>
      </c>
      <c r="D317" t="s">
        <v>41</v>
      </c>
      <c r="E317" t="s">
        <v>42</v>
      </c>
      <c r="F317" t="s">
        <v>39</v>
      </c>
      <c r="G317" s="1">
        <v>5</v>
      </c>
      <c r="H317" s="1">
        <v>15</v>
      </c>
      <c r="I317">
        <v>2340</v>
      </c>
      <c r="J317" s="2">
        <v>6.9999999999999993E-2</v>
      </c>
      <c r="K317" s="1">
        <v>35100</v>
      </c>
      <c r="L317" s="1">
        <v>2456.9999999999995</v>
      </c>
      <c r="M317" s="1">
        <v>32643</v>
      </c>
      <c r="N317" s="1">
        <v>11700</v>
      </c>
      <c r="O317" s="1">
        <v>20943</v>
      </c>
      <c r="P317">
        <v>1</v>
      </c>
      <c r="Q317">
        <v>1</v>
      </c>
      <c r="R317">
        <v>2014</v>
      </c>
      <c r="S317" s="3">
        <v>41640</v>
      </c>
      <c r="T317" t="str">
        <f t="shared" si="4"/>
        <v>Mid Discount</v>
      </c>
    </row>
    <row r="318" spans="1:20" x14ac:dyDescent="0.25">
      <c r="A318" t="s">
        <v>255</v>
      </c>
      <c r="B318" t="s">
        <v>29</v>
      </c>
      <c r="C318" t="s">
        <v>30</v>
      </c>
      <c r="D318" t="s">
        <v>41</v>
      </c>
      <c r="E318" t="s">
        <v>42</v>
      </c>
      <c r="F318" t="s">
        <v>39</v>
      </c>
      <c r="G318" s="1">
        <v>5</v>
      </c>
      <c r="H318" s="1">
        <v>15</v>
      </c>
      <c r="I318">
        <v>2342</v>
      </c>
      <c r="J318" s="2">
        <v>6.9999999999999993E-2</v>
      </c>
      <c r="K318" s="1">
        <v>35130</v>
      </c>
      <c r="L318" s="1">
        <v>2459.1</v>
      </c>
      <c r="M318" s="1">
        <v>32670.9</v>
      </c>
      <c r="N318" s="1">
        <v>11710</v>
      </c>
      <c r="O318" s="1">
        <v>20960.900000000001</v>
      </c>
      <c r="P318">
        <v>1</v>
      </c>
      <c r="Q318">
        <v>11</v>
      </c>
      <c r="R318">
        <v>2014</v>
      </c>
      <c r="S318" s="3">
        <v>41944</v>
      </c>
      <c r="T318" t="str">
        <f t="shared" si="4"/>
        <v>Mid Discount</v>
      </c>
    </row>
    <row r="319" spans="1:20" x14ac:dyDescent="0.25">
      <c r="A319" t="s">
        <v>78</v>
      </c>
      <c r="B319" t="s">
        <v>29</v>
      </c>
      <c r="C319" t="s">
        <v>30</v>
      </c>
      <c r="D319" t="s">
        <v>22</v>
      </c>
      <c r="E319" t="s">
        <v>23</v>
      </c>
      <c r="F319" t="s">
        <v>57</v>
      </c>
      <c r="G319" s="1">
        <v>10</v>
      </c>
      <c r="H319" s="1">
        <v>20</v>
      </c>
      <c r="I319">
        <v>1031</v>
      </c>
      <c r="J319" s="2">
        <v>6.9999999999999993E-2</v>
      </c>
      <c r="K319" s="1">
        <v>20620</v>
      </c>
      <c r="L319" s="1">
        <v>1443.3999999999999</v>
      </c>
      <c r="M319" s="1">
        <v>19176.599999999999</v>
      </c>
      <c r="N319" s="1">
        <v>10310</v>
      </c>
      <c r="O319" s="1">
        <v>8866.5999999999985</v>
      </c>
      <c r="P319">
        <v>1</v>
      </c>
      <c r="Q319">
        <v>9</v>
      </c>
      <c r="R319">
        <v>2013</v>
      </c>
      <c r="S319" s="3">
        <v>41518</v>
      </c>
      <c r="T319" t="str">
        <f t="shared" si="4"/>
        <v>Mid Discount</v>
      </c>
    </row>
    <row r="320" spans="1:20" x14ac:dyDescent="0.25">
      <c r="A320" t="s">
        <v>256</v>
      </c>
      <c r="B320" t="s">
        <v>20</v>
      </c>
      <c r="C320" t="s">
        <v>21</v>
      </c>
      <c r="D320" t="s">
        <v>31</v>
      </c>
      <c r="E320" t="s">
        <v>32</v>
      </c>
      <c r="F320" t="s">
        <v>71</v>
      </c>
      <c r="G320" s="1">
        <v>120</v>
      </c>
      <c r="H320" s="1">
        <v>180</v>
      </c>
      <c r="I320">
        <v>1262</v>
      </c>
      <c r="J320" s="2">
        <v>6.9999999999999993E-2</v>
      </c>
      <c r="K320" s="1">
        <v>227160</v>
      </c>
      <c r="L320" s="1">
        <v>15901.199999999999</v>
      </c>
      <c r="M320" s="1">
        <v>211258.8</v>
      </c>
      <c r="N320" s="1">
        <v>151440</v>
      </c>
      <c r="O320" s="1">
        <v>59818.799999999988</v>
      </c>
      <c r="P320">
        <v>1</v>
      </c>
      <c r="Q320">
        <v>5</v>
      </c>
      <c r="R320">
        <v>2014</v>
      </c>
      <c r="S320" s="3">
        <v>41760</v>
      </c>
      <c r="T320" t="str">
        <f t="shared" si="4"/>
        <v>Mid Discount</v>
      </c>
    </row>
    <row r="321" spans="1:20" x14ac:dyDescent="0.25">
      <c r="A321" t="s">
        <v>257</v>
      </c>
      <c r="B321" t="s">
        <v>20</v>
      </c>
      <c r="C321" t="s">
        <v>21</v>
      </c>
      <c r="D321" t="s">
        <v>22</v>
      </c>
      <c r="E321" t="s">
        <v>23</v>
      </c>
      <c r="F321" t="s">
        <v>71</v>
      </c>
      <c r="G321" s="1">
        <v>120</v>
      </c>
      <c r="H321" s="1">
        <v>180</v>
      </c>
      <c r="I321">
        <v>1135</v>
      </c>
      <c r="J321" s="2">
        <v>6.9999999999999993E-2</v>
      </c>
      <c r="K321" s="1">
        <v>204300</v>
      </c>
      <c r="L321" s="1">
        <v>14300.999999999998</v>
      </c>
      <c r="M321" s="1">
        <v>189999</v>
      </c>
      <c r="N321" s="1">
        <v>136200</v>
      </c>
      <c r="O321" s="1">
        <v>53799</v>
      </c>
      <c r="P321">
        <v>1</v>
      </c>
      <c r="Q321">
        <v>6</v>
      </c>
      <c r="R321">
        <v>2014</v>
      </c>
      <c r="S321" s="3">
        <v>41791</v>
      </c>
      <c r="T321" t="str">
        <f t="shared" si="4"/>
        <v>Mid Discount</v>
      </c>
    </row>
    <row r="322" spans="1:20" x14ac:dyDescent="0.25">
      <c r="A322" t="s">
        <v>149</v>
      </c>
      <c r="B322" t="s">
        <v>54</v>
      </c>
      <c r="C322" t="s">
        <v>55</v>
      </c>
      <c r="D322" t="s">
        <v>22</v>
      </c>
      <c r="E322" t="s">
        <v>23</v>
      </c>
      <c r="F322" t="s">
        <v>71</v>
      </c>
      <c r="G322" s="1">
        <v>120</v>
      </c>
      <c r="H322" s="1">
        <v>180</v>
      </c>
      <c r="I322">
        <v>547</v>
      </c>
      <c r="J322" s="2">
        <v>6.9999999999999993E-2</v>
      </c>
      <c r="K322" s="1">
        <v>98460</v>
      </c>
      <c r="L322" s="1">
        <v>6892.1999999999989</v>
      </c>
      <c r="M322" s="1">
        <v>91567.8</v>
      </c>
      <c r="N322" s="1">
        <v>65640</v>
      </c>
      <c r="O322" s="1">
        <v>25927.800000000003</v>
      </c>
      <c r="P322">
        <v>1</v>
      </c>
      <c r="Q322">
        <v>11</v>
      </c>
      <c r="R322">
        <v>2014</v>
      </c>
      <c r="S322" s="3">
        <v>41944</v>
      </c>
      <c r="T322" t="str">
        <f t="shared" ref="T322:T385" si="5">_xlfn.IFS(J322=0%,"No Discount",J322&lt;=3%,"Very Low Discount",J322&lt;=6%,"Low Discount",J322&lt;=9%,"Mid Discount",J322&lt;=12%,"High Discount",J322&lt;=15%,"Very High Discount")</f>
        <v>Mid Discount</v>
      </c>
    </row>
    <row r="323" spans="1:20" x14ac:dyDescent="0.25">
      <c r="A323" t="s">
        <v>69</v>
      </c>
      <c r="B323" t="s">
        <v>20</v>
      </c>
      <c r="C323" t="s">
        <v>21</v>
      </c>
      <c r="D323" t="s">
        <v>22</v>
      </c>
      <c r="E323" t="s">
        <v>23</v>
      </c>
      <c r="F323" t="s">
        <v>71</v>
      </c>
      <c r="G323" s="1">
        <v>120</v>
      </c>
      <c r="H323" s="1">
        <v>180</v>
      </c>
      <c r="I323">
        <v>1582</v>
      </c>
      <c r="J323" s="2">
        <v>6.9999999999999993E-2</v>
      </c>
      <c r="K323" s="1">
        <v>284760</v>
      </c>
      <c r="L323" s="1">
        <v>19933.199999999997</v>
      </c>
      <c r="M323" s="1">
        <v>264826.8</v>
      </c>
      <c r="N323" s="1">
        <v>189840</v>
      </c>
      <c r="O323" s="1">
        <v>74986.799999999988</v>
      </c>
      <c r="P323">
        <v>1</v>
      </c>
      <c r="Q323">
        <v>12</v>
      </c>
      <c r="R323">
        <v>2014</v>
      </c>
      <c r="S323" s="3">
        <v>41974</v>
      </c>
      <c r="T323" t="str">
        <f t="shared" si="5"/>
        <v>Mid Discount</v>
      </c>
    </row>
    <row r="324" spans="1:20" x14ac:dyDescent="0.25">
      <c r="A324" t="s">
        <v>258</v>
      </c>
      <c r="B324" t="s">
        <v>29</v>
      </c>
      <c r="C324" t="s">
        <v>30</v>
      </c>
      <c r="D324" t="s">
        <v>41</v>
      </c>
      <c r="E324" t="s">
        <v>42</v>
      </c>
      <c r="F324" t="s">
        <v>76</v>
      </c>
      <c r="G324" s="1">
        <v>250</v>
      </c>
      <c r="H324" s="1">
        <v>300</v>
      </c>
      <c r="I324">
        <v>1738</v>
      </c>
      <c r="J324" s="2">
        <v>7.0020138089758335E-2</v>
      </c>
      <c r="K324" s="1">
        <v>521400</v>
      </c>
      <c r="L324" s="1">
        <v>36508.499999999993</v>
      </c>
      <c r="M324" s="1">
        <v>484891.5</v>
      </c>
      <c r="N324" s="1">
        <v>434500</v>
      </c>
      <c r="O324" s="1">
        <v>50391.5</v>
      </c>
      <c r="P324">
        <v>1</v>
      </c>
      <c r="Q324">
        <v>4</v>
      </c>
      <c r="R324">
        <v>2014</v>
      </c>
      <c r="S324" s="3">
        <v>41730</v>
      </c>
      <c r="T324" t="str">
        <f t="shared" si="5"/>
        <v>Mid Discount</v>
      </c>
    </row>
    <row r="325" spans="1:20" x14ac:dyDescent="0.25">
      <c r="A325" t="s">
        <v>259</v>
      </c>
      <c r="B325" t="s">
        <v>26</v>
      </c>
      <c r="C325" t="s">
        <v>27</v>
      </c>
      <c r="D325" t="s">
        <v>41</v>
      </c>
      <c r="E325" t="s">
        <v>42</v>
      </c>
      <c r="F325" t="s">
        <v>76</v>
      </c>
      <c r="G325" s="1">
        <v>250</v>
      </c>
      <c r="H325" s="1">
        <v>300</v>
      </c>
      <c r="I325">
        <v>2215</v>
      </c>
      <c r="J325" s="2">
        <v>6.9999999999999993E-2</v>
      </c>
      <c r="K325" s="1">
        <v>664500</v>
      </c>
      <c r="L325" s="1">
        <v>46514.999999999993</v>
      </c>
      <c r="M325" s="1">
        <v>617985</v>
      </c>
      <c r="N325" s="1">
        <v>553750</v>
      </c>
      <c r="O325" s="1">
        <v>64235</v>
      </c>
      <c r="P325">
        <v>1</v>
      </c>
      <c r="Q325">
        <v>9</v>
      </c>
      <c r="R325">
        <v>2013</v>
      </c>
      <c r="S325" s="3">
        <v>41518</v>
      </c>
      <c r="T325" t="str">
        <f t="shared" si="5"/>
        <v>Mid Discount</v>
      </c>
    </row>
    <row r="326" spans="1:20" x14ac:dyDescent="0.25">
      <c r="A326" t="s">
        <v>69</v>
      </c>
      <c r="B326" t="s">
        <v>20</v>
      </c>
      <c r="C326" t="s">
        <v>21</v>
      </c>
      <c r="D326" t="s">
        <v>22</v>
      </c>
      <c r="E326" t="s">
        <v>23</v>
      </c>
      <c r="F326" t="s">
        <v>76</v>
      </c>
      <c r="G326" s="1">
        <v>250</v>
      </c>
      <c r="H326" s="1">
        <v>300</v>
      </c>
      <c r="I326">
        <v>1582</v>
      </c>
      <c r="J326" s="2">
        <v>6.9999999999999993E-2</v>
      </c>
      <c r="K326" s="1">
        <v>474600</v>
      </c>
      <c r="L326" s="1">
        <v>33222</v>
      </c>
      <c r="M326" s="1">
        <v>441378</v>
      </c>
      <c r="N326" s="1">
        <v>395500</v>
      </c>
      <c r="O326" s="1">
        <v>45878</v>
      </c>
      <c r="P326">
        <v>1</v>
      </c>
      <c r="Q326">
        <v>12</v>
      </c>
      <c r="R326">
        <v>2014</v>
      </c>
      <c r="S326" s="3">
        <v>41974</v>
      </c>
      <c r="T326" t="str">
        <f t="shared" si="5"/>
        <v>Mid Discount</v>
      </c>
    </row>
    <row r="327" spans="1:20" x14ac:dyDescent="0.25">
      <c r="A327" t="s">
        <v>257</v>
      </c>
      <c r="B327" t="s">
        <v>20</v>
      </c>
      <c r="C327" t="s">
        <v>21</v>
      </c>
      <c r="D327" t="s">
        <v>22</v>
      </c>
      <c r="E327" t="s">
        <v>23</v>
      </c>
      <c r="F327" t="s">
        <v>81</v>
      </c>
      <c r="G327" s="1">
        <v>200</v>
      </c>
      <c r="H327" s="1">
        <v>350</v>
      </c>
      <c r="I327">
        <v>1135</v>
      </c>
      <c r="J327" s="2">
        <v>6.9999999999999993E-2</v>
      </c>
      <c r="K327" s="1">
        <v>397250</v>
      </c>
      <c r="L327" s="1">
        <v>27807.499999999996</v>
      </c>
      <c r="M327" s="1">
        <v>369442.5</v>
      </c>
      <c r="N327" s="1">
        <v>227000</v>
      </c>
      <c r="O327" s="1">
        <v>142442.5</v>
      </c>
      <c r="P327">
        <v>1</v>
      </c>
      <c r="Q327">
        <v>6</v>
      </c>
      <c r="R327">
        <v>2014</v>
      </c>
      <c r="S327" s="3">
        <v>41791</v>
      </c>
      <c r="T327" t="str">
        <f t="shared" si="5"/>
        <v>Mid Discount</v>
      </c>
    </row>
    <row r="328" spans="1:20" x14ac:dyDescent="0.25">
      <c r="A328" t="s">
        <v>260</v>
      </c>
      <c r="B328" t="s">
        <v>54</v>
      </c>
      <c r="C328" t="s">
        <v>55</v>
      </c>
      <c r="D328" t="s">
        <v>22</v>
      </c>
      <c r="E328" t="s">
        <v>23</v>
      </c>
      <c r="F328" t="s">
        <v>24</v>
      </c>
      <c r="G328" s="1">
        <v>3</v>
      </c>
      <c r="H328" s="1">
        <v>20</v>
      </c>
      <c r="I328">
        <v>1761</v>
      </c>
      <c r="J328" s="2">
        <v>7.0000000000000007E-2</v>
      </c>
      <c r="K328" s="1">
        <v>35220</v>
      </c>
      <c r="L328" s="1">
        <v>2465.4</v>
      </c>
      <c r="M328" s="1">
        <v>32754.6</v>
      </c>
      <c r="N328" s="1">
        <v>5283</v>
      </c>
      <c r="O328" s="1">
        <v>27471.599999999999</v>
      </c>
      <c r="P328">
        <v>1</v>
      </c>
      <c r="Q328">
        <v>3</v>
      </c>
      <c r="R328">
        <v>2014</v>
      </c>
      <c r="S328" s="3">
        <v>41699</v>
      </c>
      <c r="T328" t="str">
        <f t="shared" si="5"/>
        <v>Mid Discount</v>
      </c>
    </row>
    <row r="329" spans="1:20" x14ac:dyDescent="0.25">
      <c r="A329" t="s">
        <v>261</v>
      </c>
      <c r="B329" t="s">
        <v>29</v>
      </c>
      <c r="C329" t="s">
        <v>30</v>
      </c>
      <c r="D329" t="s">
        <v>49</v>
      </c>
      <c r="E329" t="s">
        <v>50</v>
      </c>
      <c r="F329" t="s">
        <v>24</v>
      </c>
      <c r="G329" s="1">
        <v>3</v>
      </c>
      <c r="H329" s="1">
        <v>20</v>
      </c>
      <c r="I329">
        <v>448</v>
      </c>
      <c r="J329" s="2">
        <v>7.0000000000000007E-2</v>
      </c>
      <c r="K329" s="1">
        <v>8960</v>
      </c>
      <c r="L329" s="1">
        <v>627.20000000000005</v>
      </c>
      <c r="M329" s="1">
        <v>8332.7999999999993</v>
      </c>
      <c r="N329" s="1">
        <v>1344</v>
      </c>
      <c r="O329" s="1">
        <v>6988.7999999999993</v>
      </c>
      <c r="P329">
        <v>1</v>
      </c>
      <c r="Q329">
        <v>6</v>
      </c>
      <c r="R329">
        <v>2014</v>
      </c>
      <c r="S329" s="3">
        <v>41791</v>
      </c>
      <c r="T329" t="str">
        <f t="shared" si="5"/>
        <v>Mid Discount</v>
      </c>
    </row>
    <row r="330" spans="1:20" x14ac:dyDescent="0.25">
      <c r="A330" t="s">
        <v>262</v>
      </c>
      <c r="B330" t="s">
        <v>29</v>
      </c>
      <c r="C330" t="s">
        <v>30</v>
      </c>
      <c r="D330" t="s">
        <v>49</v>
      </c>
      <c r="E330" t="s">
        <v>50</v>
      </c>
      <c r="F330" t="s">
        <v>24</v>
      </c>
      <c r="G330" s="1">
        <v>3</v>
      </c>
      <c r="H330" s="1">
        <v>20</v>
      </c>
      <c r="I330">
        <v>2181</v>
      </c>
      <c r="J330" s="2">
        <v>7.0000000000000007E-2</v>
      </c>
      <c r="K330" s="1">
        <v>43620</v>
      </c>
      <c r="L330" s="1">
        <v>3053.4</v>
      </c>
      <c r="M330" s="1">
        <v>40566.6</v>
      </c>
      <c r="N330" s="1">
        <v>6543</v>
      </c>
      <c r="O330" s="1">
        <v>34023.599999999999</v>
      </c>
      <c r="P330">
        <v>1</v>
      </c>
      <c r="Q330">
        <v>10</v>
      </c>
      <c r="R330">
        <v>2014</v>
      </c>
      <c r="S330" s="3">
        <v>41913</v>
      </c>
      <c r="T330" t="str">
        <f t="shared" si="5"/>
        <v>Mid Discount</v>
      </c>
    </row>
    <row r="331" spans="1:20" x14ac:dyDescent="0.25">
      <c r="A331" t="s">
        <v>193</v>
      </c>
      <c r="B331" t="s">
        <v>29</v>
      </c>
      <c r="C331" t="s">
        <v>30</v>
      </c>
      <c r="D331" t="s">
        <v>22</v>
      </c>
      <c r="E331" t="s">
        <v>23</v>
      </c>
      <c r="F331" t="s">
        <v>39</v>
      </c>
      <c r="G331" s="1">
        <v>5</v>
      </c>
      <c r="H331" s="1">
        <v>15</v>
      </c>
      <c r="I331">
        <v>1976</v>
      </c>
      <c r="J331" s="2">
        <v>7.0000000000000007E-2</v>
      </c>
      <c r="K331" s="1">
        <v>29640</v>
      </c>
      <c r="L331" s="1">
        <v>2074.8000000000002</v>
      </c>
      <c r="M331" s="1">
        <v>27565.200000000001</v>
      </c>
      <c r="N331" s="1">
        <v>9880</v>
      </c>
      <c r="O331" s="1">
        <v>17685.2</v>
      </c>
      <c r="P331">
        <v>1</v>
      </c>
      <c r="Q331">
        <v>10</v>
      </c>
      <c r="R331">
        <v>2014</v>
      </c>
      <c r="S331" s="3">
        <v>41913</v>
      </c>
      <c r="T331" t="str">
        <f t="shared" si="5"/>
        <v>Mid Discount</v>
      </c>
    </row>
    <row r="332" spans="1:20" x14ac:dyDescent="0.25">
      <c r="A332" t="s">
        <v>262</v>
      </c>
      <c r="B332" t="s">
        <v>29</v>
      </c>
      <c r="C332" t="s">
        <v>30</v>
      </c>
      <c r="D332" t="s">
        <v>49</v>
      </c>
      <c r="E332" t="s">
        <v>50</v>
      </c>
      <c r="F332" t="s">
        <v>39</v>
      </c>
      <c r="G332" s="1">
        <v>5</v>
      </c>
      <c r="H332" s="1">
        <v>15</v>
      </c>
      <c r="I332">
        <v>2181</v>
      </c>
      <c r="J332" s="2">
        <v>7.0000000000000007E-2</v>
      </c>
      <c r="K332" s="1">
        <v>32715</v>
      </c>
      <c r="L332" s="1">
        <v>2290.0500000000002</v>
      </c>
      <c r="M332" s="1">
        <v>30424.95</v>
      </c>
      <c r="N332" s="1">
        <v>10905</v>
      </c>
      <c r="O332" s="1">
        <v>19519.95</v>
      </c>
      <c r="P332">
        <v>1</v>
      </c>
      <c r="Q332">
        <v>10</v>
      </c>
      <c r="R332">
        <v>2014</v>
      </c>
      <c r="S332" s="3">
        <v>41913</v>
      </c>
      <c r="T332" t="str">
        <f t="shared" si="5"/>
        <v>Mid Discount</v>
      </c>
    </row>
    <row r="333" spans="1:20" x14ac:dyDescent="0.25">
      <c r="A333" t="s">
        <v>263</v>
      </c>
      <c r="B333" t="s">
        <v>26</v>
      </c>
      <c r="C333" t="s">
        <v>27</v>
      </c>
      <c r="D333" t="s">
        <v>46</v>
      </c>
      <c r="E333" t="s">
        <v>47</v>
      </c>
      <c r="F333" t="s">
        <v>39</v>
      </c>
      <c r="G333" s="1">
        <v>5</v>
      </c>
      <c r="H333" s="1">
        <v>15</v>
      </c>
      <c r="I333">
        <v>2500</v>
      </c>
      <c r="J333" s="2">
        <v>7.0000000000000007E-2</v>
      </c>
      <c r="K333" s="1">
        <v>37500</v>
      </c>
      <c r="L333" s="1">
        <v>2625.0000000000005</v>
      </c>
      <c r="M333" s="1">
        <v>34875</v>
      </c>
      <c r="N333" s="1">
        <v>12500</v>
      </c>
      <c r="O333" s="1">
        <v>22375</v>
      </c>
      <c r="P333">
        <v>1</v>
      </c>
      <c r="Q333">
        <v>11</v>
      </c>
      <c r="R333">
        <v>2013</v>
      </c>
      <c r="S333" s="3">
        <v>41579</v>
      </c>
      <c r="T333" t="str">
        <f t="shared" si="5"/>
        <v>Mid Discount</v>
      </c>
    </row>
    <row r="334" spans="1:20" x14ac:dyDescent="0.25">
      <c r="A334" t="s">
        <v>264</v>
      </c>
      <c r="B334" t="s">
        <v>20</v>
      </c>
      <c r="C334" t="s">
        <v>21</v>
      </c>
      <c r="D334" t="s">
        <v>49</v>
      </c>
      <c r="E334" t="s">
        <v>50</v>
      </c>
      <c r="F334" t="s">
        <v>57</v>
      </c>
      <c r="G334" s="1">
        <v>10</v>
      </c>
      <c r="H334" s="1">
        <v>20</v>
      </c>
      <c r="I334">
        <v>1702</v>
      </c>
      <c r="J334" s="2">
        <v>7.0000000000000007E-2</v>
      </c>
      <c r="K334" s="1">
        <v>34040</v>
      </c>
      <c r="L334" s="1">
        <v>2382.8000000000002</v>
      </c>
      <c r="M334" s="1">
        <v>31657.200000000001</v>
      </c>
      <c r="N334" s="1">
        <v>17020</v>
      </c>
      <c r="O334" s="1">
        <v>14637.2</v>
      </c>
      <c r="P334">
        <v>1</v>
      </c>
      <c r="Q334">
        <v>5</v>
      </c>
      <c r="R334">
        <v>2014</v>
      </c>
      <c r="S334" s="3">
        <v>41760</v>
      </c>
      <c r="T334" t="str">
        <f t="shared" si="5"/>
        <v>Mid Discount</v>
      </c>
    </row>
    <row r="335" spans="1:20" x14ac:dyDescent="0.25">
      <c r="A335" t="s">
        <v>261</v>
      </c>
      <c r="B335" t="s">
        <v>29</v>
      </c>
      <c r="C335" t="s">
        <v>30</v>
      </c>
      <c r="D335" t="s">
        <v>49</v>
      </c>
      <c r="E335" t="s">
        <v>50</v>
      </c>
      <c r="F335" t="s">
        <v>57</v>
      </c>
      <c r="G335" s="1">
        <v>10</v>
      </c>
      <c r="H335" s="1">
        <v>20</v>
      </c>
      <c r="I335">
        <v>448</v>
      </c>
      <c r="J335" s="2">
        <v>7.0000000000000007E-2</v>
      </c>
      <c r="K335" s="1">
        <v>8960</v>
      </c>
      <c r="L335" s="1">
        <v>627.20000000000005</v>
      </c>
      <c r="M335" s="1">
        <v>8332.7999999999993</v>
      </c>
      <c r="N335" s="1">
        <v>4480</v>
      </c>
      <c r="O335" s="1">
        <v>3852.7999999999993</v>
      </c>
      <c r="P335">
        <v>1</v>
      </c>
      <c r="Q335">
        <v>6</v>
      </c>
      <c r="R335">
        <v>2014</v>
      </c>
      <c r="S335" s="3">
        <v>41791</v>
      </c>
      <c r="T335" t="str">
        <f t="shared" si="5"/>
        <v>Mid Discount</v>
      </c>
    </row>
    <row r="336" spans="1:20" x14ac:dyDescent="0.25">
      <c r="A336" t="s">
        <v>265</v>
      </c>
      <c r="B336" t="s">
        <v>26</v>
      </c>
      <c r="C336" t="s">
        <v>27</v>
      </c>
      <c r="D336" t="s">
        <v>46</v>
      </c>
      <c r="E336" t="s">
        <v>47</v>
      </c>
      <c r="F336" t="s">
        <v>57</v>
      </c>
      <c r="G336" s="1">
        <v>10</v>
      </c>
      <c r="H336" s="1">
        <v>20</v>
      </c>
      <c r="I336">
        <v>3513</v>
      </c>
      <c r="J336" s="2">
        <v>7.0000000000000007E-2</v>
      </c>
      <c r="K336" s="1">
        <v>70260</v>
      </c>
      <c r="L336" s="1">
        <v>4918.2000000000007</v>
      </c>
      <c r="M336" s="1">
        <v>65341.8</v>
      </c>
      <c r="N336" s="1">
        <v>35130</v>
      </c>
      <c r="O336" s="1">
        <v>30211.800000000003</v>
      </c>
      <c r="P336">
        <v>1</v>
      </c>
      <c r="Q336">
        <v>7</v>
      </c>
      <c r="R336">
        <v>2014</v>
      </c>
      <c r="S336" s="3">
        <v>41821</v>
      </c>
      <c r="T336" t="str">
        <f t="shared" si="5"/>
        <v>Mid Discount</v>
      </c>
    </row>
    <row r="337" spans="1:20" x14ac:dyDescent="0.25">
      <c r="A337" t="s">
        <v>266</v>
      </c>
      <c r="B337" t="s">
        <v>29</v>
      </c>
      <c r="C337" t="s">
        <v>30</v>
      </c>
      <c r="D337" t="s">
        <v>31</v>
      </c>
      <c r="E337" t="s">
        <v>32</v>
      </c>
      <c r="F337" t="s">
        <v>57</v>
      </c>
      <c r="G337" s="1">
        <v>10</v>
      </c>
      <c r="H337" s="1">
        <v>20</v>
      </c>
      <c r="I337">
        <v>2101</v>
      </c>
      <c r="J337" s="2">
        <v>7.0000000000000007E-2</v>
      </c>
      <c r="K337" s="1">
        <v>42020</v>
      </c>
      <c r="L337" s="1">
        <v>2941.4</v>
      </c>
      <c r="M337" s="1">
        <v>39078.6</v>
      </c>
      <c r="N337" s="1">
        <v>21010</v>
      </c>
      <c r="O337" s="1">
        <v>18068.599999999999</v>
      </c>
      <c r="P337">
        <v>1</v>
      </c>
      <c r="Q337">
        <v>8</v>
      </c>
      <c r="R337">
        <v>2014</v>
      </c>
      <c r="S337" s="3">
        <v>41852</v>
      </c>
      <c r="T337" t="str">
        <f t="shared" si="5"/>
        <v>Mid Discount</v>
      </c>
    </row>
    <row r="338" spans="1:20" x14ac:dyDescent="0.25">
      <c r="A338" t="s">
        <v>267</v>
      </c>
      <c r="B338" t="s">
        <v>54</v>
      </c>
      <c r="C338" t="s">
        <v>55</v>
      </c>
      <c r="D338" t="s">
        <v>31</v>
      </c>
      <c r="E338" t="s">
        <v>32</v>
      </c>
      <c r="F338" t="s">
        <v>57</v>
      </c>
      <c r="G338" s="1">
        <v>10</v>
      </c>
      <c r="H338" s="1">
        <v>20</v>
      </c>
      <c r="I338">
        <v>2931</v>
      </c>
      <c r="J338" s="2">
        <v>7.0000000000000007E-2</v>
      </c>
      <c r="K338" s="1">
        <v>58620</v>
      </c>
      <c r="L338" s="1">
        <v>4103.4000000000005</v>
      </c>
      <c r="M338" s="1">
        <v>54516.6</v>
      </c>
      <c r="N338" s="1">
        <v>29310</v>
      </c>
      <c r="O338" s="1">
        <v>25206.6</v>
      </c>
      <c r="P338">
        <v>1</v>
      </c>
      <c r="Q338">
        <v>9</v>
      </c>
      <c r="R338">
        <v>2013</v>
      </c>
      <c r="S338" s="3">
        <v>41518</v>
      </c>
      <c r="T338" t="str">
        <f t="shared" si="5"/>
        <v>Mid Discount</v>
      </c>
    </row>
    <row r="339" spans="1:20" x14ac:dyDescent="0.25">
      <c r="A339" t="s">
        <v>157</v>
      </c>
      <c r="B339" t="s">
        <v>29</v>
      </c>
      <c r="C339" t="s">
        <v>30</v>
      </c>
      <c r="D339" t="s">
        <v>22</v>
      </c>
      <c r="E339" t="s">
        <v>23</v>
      </c>
      <c r="F339" t="s">
        <v>57</v>
      </c>
      <c r="G339" s="1">
        <v>10</v>
      </c>
      <c r="H339" s="1">
        <v>20</v>
      </c>
      <c r="I339">
        <v>1535</v>
      </c>
      <c r="J339" s="2">
        <v>7.0000000000000007E-2</v>
      </c>
      <c r="K339" s="1">
        <v>30700</v>
      </c>
      <c r="L339" s="1">
        <v>2149</v>
      </c>
      <c r="M339" s="1">
        <v>28551</v>
      </c>
      <c r="N339" s="1">
        <v>15350</v>
      </c>
      <c r="O339" s="1">
        <v>13201</v>
      </c>
      <c r="P339">
        <v>1</v>
      </c>
      <c r="Q339">
        <v>9</v>
      </c>
      <c r="R339">
        <v>2014</v>
      </c>
      <c r="S339" s="3">
        <v>41883</v>
      </c>
      <c r="T339" t="str">
        <f t="shared" si="5"/>
        <v>Mid Discount</v>
      </c>
    </row>
    <row r="340" spans="1:20" x14ac:dyDescent="0.25">
      <c r="A340" t="s">
        <v>268</v>
      </c>
      <c r="B340" t="s">
        <v>26</v>
      </c>
      <c r="C340" t="s">
        <v>27</v>
      </c>
      <c r="D340" t="s">
        <v>49</v>
      </c>
      <c r="E340" t="s">
        <v>50</v>
      </c>
      <c r="F340" t="s">
        <v>57</v>
      </c>
      <c r="G340" s="1">
        <v>10</v>
      </c>
      <c r="H340" s="1">
        <v>20</v>
      </c>
      <c r="I340">
        <v>1123</v>
      </c>
      <c r="J340" s="2">
        <v>7.0000000000000007E-2</v>
      </c>
      <c r="K340" s="1">
        <v>22460</v>
      </c>
      <c r="L340" s="1">
        <v>1572.2</v>
      </c>
      <c r="M340" s="1">
        <v>20887.8</v>
      </c>
      <c r="N340" s="1">
        <v>11230</v>
      </c>
      <c r="O340" s="1">
        <v>9657.7999999999993</v>
      </c>
      <c r="P340">
        <v>1</v>
      </c>
      <c r="Q340">
        <v>9</v>
      </c>
      <c r="R340">
        <v>2013</v>
      </c>
      <c r="S340" s="3">
        <v>41518</v>
      </c>
      <c r="T340" t="str">
        <f t="shared" si="5"/>
        <v>Mid Discount</v>
      </c>
    </row>
    <row r="341" spans="1:20" x14ac:dyDescent="0.25">
      <c r="A341" t="s">
        <v>269</v>
      </c>
      <c r="B341" t="s">
        <v>20</v>
      </c>
      <c r="C341" t="s">
        <v>21</v>
      </c>
      <c r="D341" t="s">
        <v>49</v>
      </c>
      <c r="E341" t="s">
        <v>50</v>
      </c>
      <c r="F341" t="s">
        <v>57</v>
      </c>
      <c r="G341" s="1">
        <v>10</v>
      </c>
      <c r="H341" s="1">
        <v>20</v>
      </c>
      <c r="I341">
        <v>1404</v>
      </c>
      <c r="J341" s="2">
        <v>7.0000000000000007E-2</v>
      </c>
      <c r="K341" s="1">
        <v>28080</v>
      </c>
      <c r="L341" s="1">
        <v>1965.6000000000001</v>
      </c>
      <c r="M341" s="1">
        <v>26114.400000000001</v>
      </c>
      <c r="N341" s="1">
        <v>14040</v>
      </c>
      <c r="O341" s="1">
        <v>12074.400000000001</v>
      </c>
      <c r="P341">
        <v>1</v>
      </c>
      <c r="Q341">
        <v>11</v>
      </c>
      <c r="R341">
        <v>2013</v>
      </c>
      <c r="S341" s="3">
        <v>41579</v>
      </c>
      <c r="T341" t="str">
        <f t="shared" si="5"/>
        <v>Mid Discount</v>
      </c>
    </row>
    <row r="342" spans="1:20" x14ac:dyDescent="0.25">
      <c r="A342" t="s">
        <v>270</v>
      </c>
      <c r="B342" t="s">
        <v>35</v>
      </c>
      <c r="C342" t="s">
        <v>36</v>
      </c>
      <c r="D342" t="s">
        <v>41</v>
      </c>
      <c r="E342" t="s">
        <v>42</v>
      </c>
      <c r="F342" t="s">
        <v>57</v>
      </c>
      <c r="G342" s="1">
        <v>10</v>
      </c>
      <c r="H342" s="1">
        <v>20</v>
      </c>
      <c r="I342">
        <v>2763</v>
      </c>
      <c r="J342" s="2">
        <v>7.0000000000000007E-2</v>
      </c>
      <c r="K342" s="1">
        <v>55260</v>
      </c>
      <c r="L342" s="1">
        <v>3868.2000000000003</v>
      </c>
      <c r="M342" s="1">
        <v>51391.8</v>
      </c>
      <c r="N342" s="1">
        <v>27630</v>
      </c>
      <c r="O342" s="1">
        <v>23761.800000000003</v>
      </c>
      <c r="P342">
        <v>1</v>
      </c>
      <c r="Q342">
        <v>11</v>
      </c>
      <c r="R342">
        <v>2013</v>
      </c>
      <c r="S342" s="3">
        <v>41579</v>
      </c>
      <c r="T342" t="str">
        <f t="shared" si="5"/>
        <v>Mid Discount</v>
      </c>
    </row>
    <row r="343" spans="1:20" x14ac:dyDescent="0.25">
      <c r="A343" t="s">
        <v>271</v>
      </c>
      <c r="B343" t="s">
        <v>26</v>
      </c>
      <c r="C343" t="s">
        <v>27</v>
      </c>
      <c r="D343" t="s">
        <v>22</v>
      </c>
      <c r="E343" t="s">
        <v>23</v>
      </c>
      <c r="F343" t="s">
        <v>57</v>
      </c>
      <c r="G343" s="1">
        <v>10</v>
      </c>
      <c r="H343" s="1">
        <v>20</v>
      </c>
      <c r="I343">
        <v>2125</v>
      </c>
      <c r="J343" s="2">
        <v>7.0000000000000007E-2</v>
      </c>
      <c r="K343" s="1">
        <v>42500</v>
      </c>
      <c r="L343" s="1">
        <v>2975.0000000000005</v>
      </c>
      <c r="M343" s="1">
        <v>39525</v>
      </c>
      <c r="N343" s="1">
        <v>21250</v>
      </c>
      <c r="O343" s="1">
        <v>18275</v>
      </c>
      <c r="P343">
        <v>1</v>
      </c>
      <c r="Q343">
        <v>12</v>
      </c>
      <c r="R343">
        <v>2013</v>
      </c>
      <c r="S343" s="3">
        <v>41609</v>
      </c>
      <c r="T343" t="str">
        <f t="shared" si="5"/>
        <v>Mid Discount</v>
      </c>
    </row>
    <row r="344" spans="1:20" x14ac:dyDescent="0.25">
      <c r="A344" t="s">
        <v>272</v>
      </c>
      <c r="B344" t="s">
        <v>29</v>
      </c>
      <c r="C344" t="s">
        <v>30</v>
      </c>
      <c r="D344" t="s">
        <v>49</v>
      </c>
      <c r="E344" t="s">
        <v>50</v>
      </c>
      <c r="F344" t="s">
        <v>71</v>
      </c>
      <c r="G344" s="1">
        <v>120</v>
      </c>
      <c r="H344" s="1">
        <v>180</v>
      </c>
      <c r="I344">
        <v>1659</v>
      </c>
      <c r="J344" s="2">
        <v>7.0000000000000007E-2</v>
      </c>
      <c r="K344" s="1">
        <v>298620</v>
      </c>
      <c r="L344" s="1">
        <v>20903.400000000001</v>
      </c>
      <c r="M344" s="1">
        <v>277716.59999999998</v>
      </c>
      <c r="N344" s="1">
        <v>199080</v>
      </c>
      <c r="O344" s="1">
        <v>78636.599999999977</v>
      </c>
      <c r="P344">
        <v>1</v>
      </c>
      <c r="Q344">
        <v>7</v>
      </c>
      <c r="R344">
        <v>2014</v>
      </c>
      <c r="S344" s="3">
        <v>41821</v>
      </c>
      <c r="T344" t="str">
        <f t="shared" si="5"/>
        <v>Mid Discount</v>
      </c>
    </row>
    <row r="345" spans="1:20" x14ac:dyDescent="0.25">
      <c r="A345" t="s">
        <v>61</v>
      </c>
      <c r="B345" t="s">
        <v>35</v>
      </c>
      <c r="C345" t="s">
        <v>36</v>
      </c>
      <c r="D345" t="s">
        <v>22</v>
      </c>
      <c r="E345" t="s">
        <v>23</v>
      </c>
      <c r="F345" t="s">
        <v>71</v>
      </c>
      <c r="G345" s="1">
        <v>120</v>
      </c>
      <c r="H345" s="1">
        <v>180</v>
      </c>
      <c r="I345">
        <v>609</v>
      </c>
      <c r="J345" s="2">
        <v>7.0000000000000007E-2</v>
      </c>
      <c r="K345" s="1">
        <v>109620</v>
      </c>
      <c r="L345" s="1">
        <v>7673.4000000000005</v>
      </c>
      <c r="M345" s="1">
        <v>101946.6</v>
      </c>
      <c r="N345" s="1">
        <v>73080</v>
      </c>
      <c r="O345" s="1">
        <v>28866.600000000006</v>
      </c>
      <c r="P345">
        <v>1</v>
      </c>
      <c r="Q345">
        <v>8</v>
      </c>
      <c r="R345">
        <v>2014</v>
      </c>
      <c r="S345" s="3">
        <v>41852</v>
      </c>
      <c r="T345" t="str">
        <f t="shared" si="5"/>
        <v>Mid Discount</v>
      </c>
    </row>
    <row r="346" spans="1:20" x14ac:dyDescent="0.25">
      <c r="A346" t="s">
        <v>273</v>
      </c>
      <c r="B346" t="s">
        <v>26</v>
      </c>
      <c r="C346" t="s">
        <v>27</v>
      </c>
      <c r="D346" t="s">
        <v>46</v>
      </c>
      <c r="E346" t="s">
        <v>47</v>
      </c>
      <c r="F346" t="s">
        <v>71</v>
      </c>
      <c r="G346" s="1">
        <v>120</v>
      </c>
      <c r="H346" s="1">
        <v>180</v>
      </c>
      <c r="I346">
        <v>2087</v>
      </c>
      <c r="J346" s="2">
        <v>7.0000000000000007E-2</v>
      </c>
      <c r="K346" s="1">
        <v>375660</v>
      </c>
      <c r="L346" s="1">
        <v>26296.2</v>
      </c>
      <c r="M346" s="1">
        <v>349363.8</v>
      </c>
      <c r="N346" s="1">
        <v>250440</v>
      </c>
      <c r="O346" s="1">
        <v>98923.799999999988</v>
      </c>
      <c r="P346">
        <v>1</v>
      </c>
      <c r="Q346">
        <v>9</v>
      </c>
      <c r="R346">
        <v>2014</v>
      </c>
      <c r="S346" s="3">
        <v>41883</v>
      </c>
      <c r="T346" t="str">
        <f t="shared" si="5"/>
        <v>Mid Discount</v>
      </c>
    </row>
    <row r="347" spans="1:20" x14ac:dyDescent="0.25">
      <c r="A347" t="s">
        <v>193</v>
      </c>
      <c r="B347" t="s">
        <v>29</v>
      </c>
      <c r="C347" t="s">
        <v>30</v>
      </c>
      <c r="D347" t="s">
        <v>22</v>
      </c>
      <c r="E347" t="s">
        <v>23</v>
      </c>
      <c r="F347" t="s">
        <v>71</v>
      </c>
      <c r="G347" s="1">
        <v>120</v>
      </c>
      <c r="H347" s="1">
        <v>180</v>
      </c>
      <c r="I347">
        <v>1976</v>
      </c>
      <c r="J347" s="2">
        <v>7.0000000000000007E-2</v>
      </c>
      <c r="K347" s="1">
        <v>355680</v>
      </c>
      <c r="L347" s="1">
        <v>24897.600000000002</v>
      </c>
      <c r="M347" s="1">
        <v>330782.40000000002</v>
      </c>
      <c r="N347" s="1">
        <v>237120</v>
      </c>
      <c r="O347" s="1">
        <v>93662.400000000023</v>
      </c>
      <c r="P347">
        <v>1</v>
      </c>
      <c r="Q347">
        <v>10</v>
      </c>
      <c r="R347">
        <v>2014</v>
      </c>
      <c r="S347" s="3">
        <v>41913</v>
      </c>
      <c r="T347" t="str">
        <f t="shared" si="5"/>
        <v>Mid Discount</v>
      </c>
    </row>
    <row r="348" spans="1:20" x14ac:dyDescent="0.25">
      <c r="A348" t="s">
        <v>140</v>
      </c>
      <c r="B348" t="s">
        <v>54</v>
      </c>
      <c r="C348" t="s">
        <v>55</v>
      </c>
      <c r="D348" t="s">
        <v>22</v>
      </c>
      <c r="E348" t="s">
        <v>23</v>
      </c>
      <c r="F348" t="s">
        <v>71</v>
      </c>
      <c r="G348" s="1">
        <v>120</v>
      </c>
      <c r="H348" s="1">
        <v>180</v>
      </c>
      <c r="I348">
        <v>1421</v>
      </c>
      <c r="J348" s="2">
        <v>7.0000000000000007E-2</v>
      </c>
      <c r="K348" s="1">
        <v>255780</v>
      </c>
      <c r="L348" s="1">
        <v>17904.600000000002</v>
      </c>
      <c r="M348" s="1">
        <v>237875.4</v>
      </c>
      <c r="N348" s="1">
        <v>170520</v>
      </c>
      <c r="O348" s="1">
        <v>67355.399999999994</v>
      </c>
      <c r="P348">
        <v>1</v>
      </c>
      <c r="Q348">
        <v>12</v>
      </c>
      <c r="R348">
        <v>2013</v>
      </c>
      <c r="S348" s="3">
        <v>41609</v>
      </c>
      <c r="T348" t="str">
        <f t="shared" si="5"/>
        <v>Mid Discount</v>
      </c>
    </row>
    <row r="349" spans="1:20" x14ac:dyDescent="0.25">
      <c r="A349" t="s">
        <v>274</v>
      </c>
      <c r="B349" t="s">
        <v>54</v>
      </c>
      <c r="C349" t="s">
        <v>55</v>
      </c>
      <c r="D349" t="s">
        <v>49</v>
      </c>
      <c r="E349" t="s">
        <v>50</v>
      </c>
      <c r="F349" t="s">
        <v>71</v>
      </c>
      <c r="G349" s="1">
        <v>120</v>
      </c>
      <c r="H349" s="1">
        <v>180</v>
      </c>
      <c r="I349">
        <v>1372</v>
      </c>
      <c r="J349" s="2">
        <v>7.0000000000000007E-2</v>
      </c>
      <c r="K349" s="1">
        <v>246960</v>
      </c>
      <c r="L349" s="1">
        <v>17287.2</v>
      </c>
      <c r="M349" s="1">
        <v>229672.8</v>
      </c>
      <c r="N349" s="1">
        <v>164640</v>
      </c>
      <c r="O349" s="1">
        <v>65032.799999999988</v>
      </c>
      <c r="P349">
        <v>1</v>
      </c>
      <c r="Q349">
        <v>12</v>
      </c>
      <c r="R349">
        <v>2014</v>
      </c>
      <c r="S349" s="3">
        <v>41974</v>
      </c>
      <c r="T349" t="str">
        <f t="shared" si="5"/>
        <v>Mid Discount</v>
      </c>
    </row>
    <row r="350" spans="1:20" x14ac:dyDescent="0.25">
      <c r="A350" t="s">
        <v>271</v>
      </c>
      <c r="B350" t="s">
        <v>26</v>
      </c>
      <c r="C350" t="s">
        <v>27</v>
      </c>
      <c r="D350" t="s">
        <v>22</v>
      </c>
      <c r="E350" t="s">
        <v>23</v>
      </c>
      <c r="F350" t="s">
        <v>71</v>
      </c>
      <c r="G350" s="1">
        <v>120</v>
      </c>
      <c r="H350" s="1">
        <v>180</v>
      </c>
      <c r="I350">
        <v>588</v>
      </c>
      <c r="J350" s="2">
        <v>7.0000000000000007E-2</v>
      </c>
      <c r="K350" s="1">
        <v>105840</v>
      </c>
      <c r="L350" s="1">
        <v>7408.8000000000011</v>
      </c>
      <c r="M350" s="1">
        <v>98431.2</v>
      </c>
      <c r="N350" s="1">
        <v>70560</v>
      </c>
      <c r="O350" s="1">
        <v>27871.199999999997</v>
      </c>
      <c r="P350">
        <v>1</v>
      </c>
      <c r="Q350">
        <v>12</v>
      </c>
      <c r="R350">
        <v>2013</v>
      </c>
      <c r="S350" s="3">
        <v>41609</v>
      </c>
      <c r="T350" t="str">
        <f t="shared" si="5"/>
        <v>Mid Discount</v>
      </c>
    </row>
    <row r="351" spans="1:20" x14ac:dyDescent="0.25">
      <c r="A351" t="s">
        <v>275</v>
      </c>
      <c r="B351" t="s">
        <v>20</v>
      </c>
      <c r="C351" t="s">
        <v>21</v>
      </c>
      <c r="D351" t="s">
        <v>41</v>
      </c>
      <c r="E351" t="s">
        <v>42</v>
      </c>
      <c r="F351" t="s">
        <v>76</v>
      </c>
      <c r="G351" s="1">
        <v>250</v>
      </c>
      <c r="H351" s="1">
        <v>300</v>
      </c>
      <c r="I351">
        <v>3244</v>
      </c>
      <c r="J351" s="2">
        <v>7.0010789149198518E-2</v>
      </c>
      <c r="K351" s="1">
        <v>973200</v>
      </c>
      <c r="L351" s="1">
        <v>68134.5</v>
      </c>
      <c r="M351" s="1">
        <v>905065.5</v>
      </c>
      <c r="N351" s="1">
        <v>811000</v>
      </c>
      <c r="O351" s="1">
        <v>94065.5</v>
      </c>
      <c r="P351">
        <v>1</v>
      </c>
      <c r="Q351">
        <v>1</v>
      </c>
      <c r="R351">
        <v>2014</v>
      </c>
      <c r="S351" s="3">
        <v>41640</v>
      </c>
      <c r="T351" t="str">
        <f t="shared" si="5"/>
        <v>Mid Discount</v>
      </c>
    </row>
    <row r="352" spans="1:20" x14ac:dyDescent="0.25">
      <c r="A352" t="s">
        <v>276</v>
      </c>
      <c r="B352" t="s">
        <v>29</v>
      </c>
      <c r="C352" t="s">
        <v>30</v>
      </c>
      <c r="D352" t="s">
        <v>49</v>
      </c>
      <c r="E352" t="s">
        <v>50</v>
      </c>
      <c r="F352" t="s">
        <v>76</v>
      </c>
      <c r="G352" s="1">
        <v>250</v>
      </c>
      <c r="H352" s="1">
        <v>300</v>
      </c>
      <c r="I352">
        <v>959</v>
      </c>
      <c r="J352" s="2">
        <v>7.0000000000000007E-2</v>
      </c>
      <c r="K352" s="1">
        <v>287700</v>
      </c>
      <c r="L352" s="1">
        <v>20139.000000000004</v>
      </c>
      <c r="M352" s="1">
        <v>267561</v>
      </c>
      <c r="N352" s="1">
        <v>239750</v>
      </c>
      <c r="O352" s="1">
        <v>27811</v>
      </c>
      <c r="P352">
        <v>1</v>
      </c>
      <c r="Q352">
        <v>2</v>
      </c>
      <c r="R352">
        <v>2014</v>
      </c>
      <c r="S352" s="3">
        <v>41671</v>
      </c>
      <c r="T352" t="str">
        <f t="shared" si="5"/>
        <v>Mid Discount</v>
      </c>
    </row>
    <row r="353" spans="1:20" x14ac:dyDescent="0.25">
      <c r="A353" t="s">
        <v>277</v>
      </c>
      <c r="B353" t="s">
        <v>35</v>
      </c>
      <c r="C353" t="s">
        <v>36</v>
      </c>
      <c r="D353" t="s">
        <v>49</v>
      </c>
      <c r="E353" t="s">
        <v>50</v>
      </c>
      <c r="F353" t="s">
        <v>76</v>
      </c>
      <c r="G353" s="1">
        <v>250</v>
      </c>
      <c r="H353" s="1">
        <v>300</v>
      </c>
      <c r="I353">
        <v>2747</v>
      </c>
      <c r="J353" s="2">
        <v>7.0000000000000007E-2</v>
      </c>
      <c r="K353" s="1">
        <v>824100</v>
      </c>
      <c r="L353" s="1">
        <v>57687.000000000007</v>
      </c>
      <c r="M353" s="1">
        <v>766413</v>
      </c>
      <c r="N353" s="1">
        <v>686750</v>
      </c>
      <c r="O353" s="1">
        <v>79663</v>
      </c>
      <c r="P353">
        <v>1</v>
      </c>
      <c r="Q353">
        <v>2</v>
      </c>
      <c r="R353">
        <v>2014</v>
      </c>
      <c r="S353" s="3">
        <v>41671</v>
      </c>
      <c r="T353" t="str">
        <f t="shared" si="5"/>
        <v>Mid Discount</v>
      </c>
    </row>
    <row r="354" spans="1:20" x14ac:dyDescent="0.25">
      <c r="A354" t="s">
        <v>278</v>
      </c>
      <c r="B354" t="s">
        <v>20</v>
      </c>
      <c r="C354" t="s">
        <v>21</v>
      </c>
      <c r="D354" t="s">
        <v>46</v>
      </c>
      <c r="E354" t="s">
        <v>47</v>
      </c>
      <c r="F354" t="s">
        <v>81</v>
      </c>
      <c r="G354" s="1">
        <v>200</v>
      </c>
      <c r="H354" s="1">
        <v>350</v>
      </c>
      <c r="I354">
        <v>1645</v>
      </c>
      <c r="J354" s="2">
        <v>7.0000000000000007E-2</v>
      </c>
      <c r="K354" s="1">
        <v>575750</v>
      </c>
      <c r="L354" s="1">
        <v>40302.500000000007</v>
      </c>
      <c r="M354" s="1">
        <v>535447.5</v>
      </c>
      <c r="N354" s="1">
        <v>329000</v>
      </c>
      <c r="O354" s="1">
        <v>206447.5</v>
      </c>
      <c r="P354">
        <v>1</v>
      </c>
      <c r="Q354">
        <v>5</v>
      </c>
      <c r="R354">
        <v>2014</v>
      </c>
      <c r="S354" s="3">
        <v>41760</v>
      </c>
      <c r="T354" t="str">
        <f t="shared" si="5"/>
        <v>Mid Discount</v>
      </c>
    </row>
    <row r="355" spans="1:20" x14ac:dyDescent="0.25">
      <c r="A355" t="s">
        <v>157</v>
      </c>
      <c r="B355" t="s">
        <v>29</v>
      </c>
      <c r="C355" t="s">
        <v>30</v>
      </c>
      <c r="D355" t="s">
        <v>22</v>
      </c>
      <c r="E355" t="s">
        <v>23</v>
      </c>
      <c r="F355" t="s">
        <v>81</v>
      </c>
      <c r="G355" s="1">
        <v>200</v>
      </c>
      <c r="H355" s="1">
        <v>350</v>
      </c>
      <c r="I355">
        <v>2876</v>
      </c>
      <c r="J355" s="2">
        <v>7.0000000000000007E-2</v>
      </c>
      <c r="K355" s="1">
        <v>1006600</v>
      </c>
      <c r="L355" s="1">
        <v>70462</v>
      </c>
      <c r="M355" s="1">
        <v>936138</v>
      </c>
      <c r="N355" s="1">
        <v>575200</v>
      </c>
      <c r="O355" s="1">
        <v>360938</v>
      </c>
      <c r="P355">
        <v>1</v>
      </c>
      <c r="Q355">
        <v>9</v>
      </c>
      <c r="R355">
        <v>2014</v>
      </c>
      <c r="S355" s="3">
        <v>41883</v>
      </c>
      <c r="T355" t="str">
        <f t="shared" si="5"/>
        <v>Mid Discount</v>
      </c>
    </row>
    <row r="356" spans="1:20" x14ac:dyDescent="0.25">
      <c r="A356" t="s">
        <v>279</v>
      </c>
      <c r="B356" t="s">
        <v>26</v>
      </c>
      <c r="C356" t="s">
        <v>27</v>
      </c>
      <c r="D356" t="s">
        <v>46</v>
      </c>
      <c r="E356" t="s">
        <v>47</v>
      </c>
      <c r="F356" t="s">
        <v>81</v>
      </c>
      <c r="G356" s="1">
        <v>200</v>
      </c>
      <c r="H356" s="1">
        <v>350</v>
      </c>
      <c r="I356">
        <v>994</v>
      </c>
      <c r="J356" s="2">
        <v>7.0000000000000007E-2</v>
      </c>
      <c r="K356" s="1">
        <v>347900</v>
      </c>
      <c r="L356" s="1">
        <v>24353.000000000004</v>
      </c>
      <c r="M356" s="1">
        <v>323547</v>
      </c>
      <c r="N356" s="1">
        <v>198800</v>
      </c>
      <c r="O356" s="1">
        <v>124747</v>
      </c>
      <c r="P356">
        <v>1</v>
      </c>
      <c r="Q356">
        <v>9</v>
      </c>
      <c r="R356">
        <v>2013</v>
      </c>
      <c r="S356" s="3">
        <v>41518</v>
      </c>
      <c r="T356" t="str">
        <f t="shared" si="5"/>
        <v>Mid Discount</v>
      </c>
    </row>
    <row r="357" spans="1:20" x14ac:dyDescent="0.25">
      <c r="A357" t="s">
        <v>280</v>
      </c>
      <c r="B357" t="s">
        <v>20</v>
      </c>
      <c r="C357" t="s">
        <v>21</v>
      </c>
      <c r="D357" t="s">
        <v>22</v>
      </c>
      <c r="E357" t="s">
        <v>23</v>
      </c>
      <c r="F357" t="s">
        <v>81</v>
      </c>
      <c r="G357" s="1">
        <v>200</v>
      </c>
      <c r="H357" s="1">
        <v>350</v>
      </c>
      <c r="I357">
        <v>1118</v>
      </c>
      <c r="J357" s="2">
        <v>7.0000000000000007E-2</v>
      </c>
      <c r="K357" s="1">
        <v>391300</v>
      </c>
      <c r="L357" s="1">
        <v>27391.000000000004</v>
      </c>
      <c r="M357" s="1">
        <v>363909</v>
      </c>
      <c r="N357" s="1">
        <v>223600</v>
      </c>
      <c r="O357" s="1">
        <v>140309</v>
      </c>
      <c r="P357">
        <v>1</v>
      </c>
      <c r="Q357">
        <v>11</v>
      </c>
      <c r="R357">
        <v>2014</v>
      </c>
      <c r="S357" s="3">
        <v>41944</v>
      </c>
      <c r="T357" t="str">
        <f t="shared" si="5"/>
        <v>Mid Discount</v>
      </c>
    </row>
    <row r="358" spans="1:20" x14ac:dyDescent="0.25">
      <c r="A358" t="s">
        <v>274</v>
      </c>
      <c r="B358" t="s">
        <v>54</v>
      </c>
      <c r="C358" t="s">
        <v>55</v>
      </c>
      <c r="D358" t="s">
        <v>49</v>
      </c>
      <c r="E358" t="s">
        <v>50</v>
      </c>
      <c r="F358" t="s">
        <v>81</v>
      </c>
      <c r="G358" s="1">
        <v>200</v>
      </c>
      <c r="H358" s="1">
        <v>350</v>
      </c>
      <c r="I358">
        <v>1372</v>
      </c>
      <c r="J358" s="2">
        <v>7.0000000000000007E-2</v>
      </c>
      <c r="K358" s="1">
        <v>480200</v>
      </c>
      <c r="L358" s="1">
        <v>33614</v>
      </c>
      <c r="M358" s="1">
        <v>446586</v>
      </c>
      <c r="N358" s="1">
        <v>274400</v>
      </c>
      <c r="O358" s="1">
        <v>172186</v>
      </c>
      <c r="P358">
        <v>1</v>
      </c>
      <c r="Q358">
        <v>12</v>
      </c>
      <c r="R358">
        <v>2014</v>
      </c>
      <c r="S358" s="3">
        <v>41974</v>
      </c>
      <c r="T358" t="str">
        <f t="shared" si="5"/>
        <v>Mid Discount</v>
      </c>
    </row>
    <row r="359" spans="1:20" x14ac:dyDescent="0.25">
      <c r="A359" t="s">
        <v>56</v>
      </c>
      <c r="B359" t="s">
        <v>20</v>
      </c>
      <c r="C359" t="s">
        <v>21</v>
      </c>
      <c r="D359" t="s">
        <v>22</v>
      </c>
      <c r="E359" t="s">
        <v>23</v>
      </c>
      <c r="F359" t="s">
        <v>39</v>
      </c>
      <c r="G359" s="1">
        <v>5</v>
      </c>
      <c r="H359" s="1">
        <v>15</v>
      </c>
      <c r="I359">
        <v>488</v>
      </c>
      <c r="J359" s="2">
        <v>7.9999999999999988E-2</v>
      </c>
      <c r="K359" s="1">
        <v>7320</v>
      </c>
      <c r="L359" s="1">
        <v>585.59999999999991</v>
      </c>
      <c r="M359" s="1">
        <v>6734.4</v>
      </c>
      <c r="N359" s="1">
        <v>2440</v>
      </c>
      <c r="O359" s="1">
        <v>4294.3999999999996</v>
      </c>
      <c r="P359">
        <v>1</v>
      </c>
      <c r="Q359">
        <v>2</v>
      </c>
      <c r="R359">
        <v>2014</v>
      </c>
      <c r="S359" s="3">
        <v>41671</v>
      </c>
      <c r="T359" t="str">
        <f t="shared" si="5"/>
        <v>Mid Discount</v>
      </c>
    </row>
    <row r="360" spans="1:20" x14ac:dyDescent="0.25">
      <c r="A360" t="s">
        <v>213</v>
      </c>
      <c r="B360" t="s">
        <v>54</v>
      </c>
      <c r="C360" t="s">
        <v>55</v>
      </c>
      <c r="D360" t="s">
        <v>22</v>
      </c>
      <c r="E360" t="s">
        <v>23</v>
      </c>
      <c r="F360" t="s">
        <v>39</v>
      </c>
      <c r="G360" s="1">
        <v>5</v>
      </c>
      <c r="H360" s="1">
        <v>15</v>
      </c>
      <c r="I360">
        <v>1282</v>
      </c>
      <c r="J360" s="2">
        <v>7.9999999999999988E-2</v>
      </c>
      <c r="K360" s="1">
        <v>19230</v>
      </c>
      <c r="L360" s="1">
        <v>1538.3999999999999</v>
      </c>
      <c r="M360" s="1">
        <v>17691.599999999999</v>
      </c>
      <c r="N360" s="1">
        <v>6410</v>
      </c>
      <c r="O360" s="1">
        <v>11281.599999999999</v>
      </c>
      <c r="P360">
        <v>1</v>
      </c>
      <c r="Q360">
        <v>6</v>
      </c>
      <c r="R360">
        <v>2014</v>
      </c>
      <c r="S360" s="3">
        <v>41791</v>
      </c>
      <c r="T360" t="str">
        <f t="shared" si="5"/>
        <v>Mid Discount</v>
      </c>
    </row>
    <row r="361" spans="1:20" x14ac:dyDescent="0.25">
      <c r="A361" t="s">
        <v>170</v>
      </c>
      <c r="B361" t="s">
        <v>20</v>
      </c>
      <c r="C361" t="s">
        <v>21</v>
      </c>
      <c r="D361" t="s">
        <v>22</v>
      </c>
      <c r="E361" t="s">
        <v>23</v>
      </c>
      <c r="F361" t="s">
        <v>57</v>
      </c>
      <c r="G361" s="1">
        <v>10</v>
      </c>
      <c r="H361" s="1">
        <v>20</v>
      </c>
      <c r="I361">
        <v>257</v>
      </c>
      <c r="J361" s="2">
        <v>7.9999999999999988E-2</v>
      </c>
      <c r="K361" s="1">
        <v>5140</v>
      </c>
      <c r="L361" s="1">
        <v>411.19999999999993</v>
      </c>
      <c r="M361" s="1">
        <v>4728.8</v>
      </c>
      <c r="N361" s="1">
        <v>2570</v>
      </c>
      <c r="O361" s="1">
        <v>2158.8000000000002</v>
      </c>
      <c r="P361">
        <v>1</v>
      </c>
      <c r="Q361">
        <v>5</v>
      </c>
      <c r="R361">
        <v>2014</v>
      </c>
      <c r="S361" s="3">
        <v>41760</v>
      </c>
      <c r="T361" t="str">
        <f t="shared" si="5"/>
        <v>Mid Discount</v>
      </c>
    </row>
    <row r="362" spans="1:20" x14ac:dyDescent="0.25">
      <c r="A362" t="s">
        <v>213</v>
      </c>
      <c r="B362" t="s">
        <v>54</v>
      </c>
      <c r="C362" t="s">
        <v>55</v>
      </c>
      <c r="D362" t="s">
        <v>22</v>
      </c>
      <c r="E362" t="s">
        <v>23</v>
      </c>
      <c r="F362" t="s">
        <v>81</v>
      </c>
      <c r="G362" s="1">
        <v>200</v>
      </c>
      <c r="H362" s="1">
        <v>350</v>
      </c>
      <c r="I362">
        <v>1282</v>
      </c>
      <c r="J362" s="2">
        <v>7.9999999999999988E-2</v>
      </c>
      <c r="K362" s="1">
        <v>448700</v>
      </c>
      <c r="L362" s="1">
        <v>35895.999999999993</v>
      </c>
      <c r="M362" s="1">
        <v>412804</v>
      </c>
      <c r="N362" s="1">
        <v>256400</v>
      </c>
      <c r="O362" s="1">
        <v>156404</v>
      </c>
      <c r="P362">
        <v>1</v>
      </c>
      <c r="Q362">
        <v>6</v>
      </c>
      <c r="R362">
        <v>2014</v>
      </c>
      <c r="S362" s="3">
        <v>41791</v>
      </c>
      <c r="T362" t="str">
        <f t="shared" si="5"/>
        <v>Mid Discount</v>
      </c>
    </row>
    <row r="363" spans="1:20" x14ac:dyDescent="0.25">
      <c r="A363" t="s">
        <v>281</v>
      </c>
      <c r="B363" t="s">
        <v>35</v>
      </c>
      <c r="C363" t="s">
        <v>36</v>
      </c>
      <c r="D363" t="s">
        <v>46</v>
      </c>
      <c r="E363" t="s">
        <v>47</v>
      </c>
      <c r="F363" t="s">
        <v>24</v>
      </c>
      <c r="G363" s="1">
        <v>3</v>
      </c>
      <c r="H363" s="1">
        <v>20</v>
      </c>
      <c r="I363">
        <v>1540</v>
      </c>
      <c r="J363" s="2">
        <v>0.08</v>
      </c>
      <c r="K363" s="1">
        <v>30800</v>
      </c>
      <c r="L363" s="1">
        <v>2464</v>
      </c>
      <c r="M363" s="1">
        <v>28336</v>
      </c>
      <c r="N363" s="1">
        <v>4620</v>
      </c>
      <c r="O363" s="1">
        <v>23716</v>
      </c>
      <c r="P363">
        <v>1</v>
      </c>
      <c r="Q363">
        <v>8</v>
      </c>
      <c r="R363">
        <v>2014</v>
      </c>
      <c r="S363" s="3">
        <v>41852</v>
      </c>
      <c r="T363" t="str">
        <f t="shared" si="5"/>
        <v>Mid Discount</v>
      </c>
    </row>
    <row r="364" spans="1:20" x14ac:dyDescent="0.25">
      <c r="A364" t="s">
        <v>282</v>
      </c>
      <c r="B364" t="s">
        <v>29</v>
      </c>
      <c r="C364" t="s">
        <v>30</v>
      </c>
      <c r="D364" t="s">
        <v>31</v>
      </c>
      <c r="E364" t="s">
        <v>32</v>
      </c>
      <c r="F364" t="s">
        <v>24</v>
      </c>
      <c r="G364" s="1">
        <v>3</v>
      </c>
      <c r="H364" s="1">
        <v>20</v>
      </c>
      <c r="I364">
        <v>490</v>
      </c>
      <c r="J364" s="2">
        <v>0.08</v>
      </c>
      <c r="K364" s="1">
        <v>9800</v>
      </c>
      <c r="L364" s="1">
        <v>784</v>
      </c>
      <c r="M364" s="1">
        <v>9016</v>
      </c>
      <c r="N364" s="1">
        <v>1470</v>
      </c>
      <c r="O364" s="1">
        <v>7546</v>
      </c>
      <c r="P364">
        <v>1</v>
      </c>
      <c r="Q364">
        <v>11</v>
      </c>
      <c r="R364">
        <v>2014</v>
      </c>
      <c r="S364" s="3">
        <v>41944</v>
      </c>
      <c r="T364" t="str">
        <f t="shared" si="5"/>
        <v>Mid Discount</v>
      </c>
    </row>
    <row r="365" spans="1:20" x14ac:dyDescent="0.25">
      <c r="A365" t="s">
        <v>283</v>
      </c>
      <c r="B365" t="s">
        <v>35</v>
      </c>
      <c r="C365" t="s">
        <v>36</v>
      </c>
      <c r="D365" t="s">
        <v>22</v>
      </c>
      <c r="E365" t="s">
        <v>23</v>
      </c>
      <c r="F365" t="s">
        <v>24</v>
      </c>
      <c r="G365" s="1">
        <v>3</v>
      </c>
      <c r="H365" s="1">
        <v>20</v>
      </c>
      <c r="I365">
        <v>1362</v>
      </c>
      <c r="J365" s="2">
        <v>0.08</v>
      </c>
      <c r="K365" s="1">
        <v>27240</v>
      </c>
      <c r="L365" s="1">
        <v>2179.1999999999998</v>
      </c>
      <c r="M365" s="1">
        <v>25060.799999999999</v>
      </c>
      <c r="N365" s="1">
        <v>4086</v>
      </c>
      <c r="O365" s="1">
        <v>20974.799999999999</v>
      </c>
      <c r="P365">
        <v>1</v>
      </c>
      <c r="Q365">
        <v>12</v>
      </c>
      <c r="R365">
        <v>2014</v>
      </c>
      <c r="S365" s="3">
        <v>41974</v>
      </c>
      <c r="T365" t="str">
        <f t="shared" si="5"/>
        <v>Mid Discount</v>
      </c>
    </row>
    <row r="366" spans="1:20" x14ac:dyDescent="0.25">
      <c r="A366" t="s">
        <v>284</v>
      </c>
      <c r="B366" t="s">
        <v>29</v>
      </c>
      <c r="C366" t="s">
        <v>30</v>
      </c>
      <c r="D366" t="s">
        <v>31</v>
      </c>
      <c r="E366" t="s">
        <v>32</v>
      </c>
      <c r="F366" t="s">
        <v>39</v>
      </c>
      <c r="G366" s="1">
        <v>5</v>
      </c>
      <c r="H366" s="1">
        <v>15</v>
      </c>
      <c r="I366">
        <v>2501</v>
      </c>
      <c r="J366" s="2">
        <v>0.08</v>
      </c>
      <c r="K366" s="1">
        <v>37515</v>
      </c>
      <c r="L366" s="1">
        <v>3001.2000000000003</v>
      </c>
      <c r="M366" s="1">
        <v>34513.800000000003</v>
      </c>
      <c r="N366" s="1">
        <v>12505</v>
      </c>
      <c r="O366" s="1">
        <v>22008.800000000003</v>
      </c>
      <c r="P366">
        <v>1</v>
      </c>
      <c r="Q366">
        <v>3</v>
      </c>
      <c r="R366">
        <v>2014</v>
      </c>
      <c r="S366" s="3">
        <v>41699</v>
      </c>
      <c r="T366" t="str">
        <f t="shared" si="5"/>
        <v>Mid Discount</v>
      </c>
    </row>
    <row r="367" spans="1:20" x14ac:dyDescent="0.25">
      <c r="A367" t="s">
        <v>257</v>
      </c>
      <c r="B367" t="s">
        <v>20</v>
      </c>
      <c r="C367" t="s">
        <v>21</v>
      </c>
      <c r="D367" t="s">
        <v>22</v>
      </c>
      <c r="E367" t="s">
        <v>23</v>
      </c>
      <c r="F367" t="s">
        <v>39</v>
      </c>
      <c r="G367" s="1">
        <v>5</v>
      </c>
      <c r="H367" s="1">
        <v>15</v>
      </c>
      <c r="I367">
        <v>708</v>
      </c>
      <c r="J367" s="2">
        <v>0.08</v>
      </c>
      <c r="K367" s="1">
        <v>10620</v>
      </c>
      <c r="L367" s="1">
        <v>849.6</v>
      </c>
      <c r="M367" s="1">
        <v>9770.4</v>
      </c>
      <c r="N367" s="1">
        <v>3540</v>
      </c>
      <c r="O367" s="1">
        <v>6230.4</v>
      </c>
      <c r="P367">
        <v>1</v>
      </c>
      <c r="Q367">
        <v>6</v>
      </c>
      <c r="R367">
        <v>2014</v>
      </c>
      <c r="S367" s="3">
        <v>41791</v>
      </c>
      <c r="T367" t="str">
        <f t="shared" si="5"/>
        <v>Mid Discount</v>
      </c>
    </row>
    <row r="368" spans="1:20" x14ac:dyDescent="0.25">
      <c r="A368" t="s">
        <v>84</v>
      </c>
      <c r="B368" t="s">
        <v>26</v>
      </c>
      <c r="C368" t="s">
        <v>27</v>
      </c>
      <c r="D368" t="s">
        <v>22</v>
      </c>
      <c r="E368" t="s">
        <v>23</v>
      </c>
      <c r="F368" t="s">
        <v>39</v>
      </c>
      <c r="G368" s="1">
        <v>5</v>
      </c>
      <c r="H368" s="1">
        <v>15</v>
      </c>
      <c r="I368">
        <v>645</v>
      </c>
      <c r="J368" s="2">
        <v>0.08</v>
      </c>
      <c r="K368" s="1">
        <v>9675</v>
      </c>
      <c r="L368" s="1">
        <v>774</v>
      </c>
      <c r="M368" s="1">
        <v>8901</v>
      </c>
      <c r="N368" s="1">
        <v>3225</v>
      </c>
      <c r="O368" s="1">
        <v>5676</v>
      </c>
      <c r="P368">
        <v>1</v>
      </c>
      <c r="Q368">
        <v>7</v>
      </c>
      <c r="R368">
        <v>2014</v>
      </c>
      <c r="S368" s="3">
        <v>41821</v>
      </c>
      <c r="T368" t="str">
        <f t="shared" si="5"/>
        <v>Mid Discount</v>
      </c>
    </row>
    <row r="369" spans="1:20" x14ac:dyDescent="0.25">
      <c r="A369" t="s">
        <v>285</v>
      </c>
      <c r="B369" t="s">
        <v>29</v>
      </c>
      <c r="C369" t="s">
        <v>30</v>
      </c>
      <c r="D369" t="s">
        <v>49</v>
      </c>
      <c r="E369" t="s">
        <v>50</v>
      </c>
      <c r="F369" t="s">
        <v>39</v>
      </c>
      <c r="G369" s="1">
        <v>5</v>
      </c>
      <c r="H369" s="1">
        <v>15</v>
      </c>
      <c r="I369">
        <v>1562</v>
      </c>
      <c r="J369" s="2">
        <v>0.08</v>
      </c>
      <c r="K369" s="1">
        <v>23430</v>
      </c>
      <c r="L369" s="1">
        <v>1874.4</v>
      </c>
      <c r="M369" s="1">
        <v>21555.599999999999</v>
      </c>
      <c r="N369" s="1">
        <v>7810</v>
      </c>
      <c r="O369" s="1">
        <v>13745.599999999999</v>
      </c>
      <c r="P369">
        <v>1</v>
      </c>
      <c r="Q369">
        <v>8</v>
      </c>
      <c r="R369">
        <v>2014</v>
      </c>
      <c r="S369" s="3">
        <v>41852</v>
      </c>
      <c r="T369" t="str">
        <f t="shared" si="5"/>
        <v>Mid Discount</v>
      </c>
    </row>
    <row r="370" spans="1:20" x14ac:dyDescent="0.25">
      <c r="A370" t="s">
        <v>286</v>
      </c>
      <c r="B370" t="s">
        <v>20</v>
      </c>
      <c r="C370" t="s">
        <v>21</v>
      </c>
      <c r="D370" t="s">
        <v>49</v>
      </c>
      <c r="E370" t="s">
        <v>50</v>
      </c>
      <c r="F370" t="s">
        <v>39</v>
      </c>
      <c r="G370" s="1">
        <v>5</v>
      </c>
      <c r="H370" s="1">
        <v>15</v>
      </c>
      <c r="I370">
        <v>1283</v>
      </c>
      <c r="J370" s="2">
        <v>0.08</v>
      </c>
      <c r="K370" s="1">
        <v>19245</v>
      </c>
      <c r="L370" s="1">
        <v>1539.6000000000001</v>
      </c>
      <c r="M370" s="1">
        <v>17705.400000000001</v>
      </c>
      <c r="N370" s="1">
        <v>6415</v>
      </c>
      <c r="O370" s="1">
        <v>11290.400000000001</v>
      </c>
      <c r="P370">
        <v>1</v>
      </c>
      <c r="Q370">
        <v>9</v>
      </c>
      <c r="R370">
        <v>2013</v>
      </c>
      <c r="S370" s="3">
        <v>41518</v>
      </c>
      <c r="T370" t="str">
        <f t="shared" si="5"/>
        <v>Mid Discount</v>
      </c>
    </row>
    <row r="371" spans="1:20" x14ac:dyDescent="0.25">
      <c r="A371" t="s">
        <v>287</v>
      </c>
      <c r="B371" t="s">
        <v>26</v>
      </c>
      <c r="C371" t="s">
        <v>27</v>
      </c>
      <c r="D371" t="s">
        <v>31</v>
      </c>
      <c r="E371" t="s">
        <v>32</v>
      </c>
      <c r="F371" t="s">
        <v>39</v>
      </c>
      <c r="G371" s="1">
        <v>5</v>
      </c>
      <c r="H371" s="1">
        <v>15</v>
      </c>
      <c r="I371">
        <v>711</v>
      </c>
      <c r="J371" s="2">
        <v>0.08</v>
      </c>
      <c r="K371" s="1">
        <v>10665</v>
      </c>
      <c r="L371" s="1">
        <v>853.2</v>
      </c>
      <c r="M371" s="1">
        <v>9811.7999999999993</v>
      </c>
      <c r="N371" s="1">
        <v>3555</v>
      </c>
      <c r="O371" s="1">
        <v>6256.7999999999993</v>
      </c>
      <c r="P371">
        <v>1</v>
      </c>
      <c r="Q371">
        <v>12</v>
      </c>
      <c r="R371">
        <v>2014</v>
      </c>
      <c r="S371" s="3">
        <v>41974</v>
      </c>
      <c r="T371" t="str">
        <f t="shared" si="5"/>
        <v>Mid Discount</v>
      </c>
    </row>
    <row r="372" spans="1:20" x14ac:dyDescent="0.25">
      <c r="A372" t="s">
        <v>288</v>
      </c>
      <c r="B372" t="s">
        <v>35</v>
      </c>
      <c r="C372" t="s">
        <v>36</v>
      </c>
      <c r="D372" t="s">
        <v>46</v>
      </c>
      <c r="E372" t="s">
        <v>47</v>
      </c>
      <c r="F372" t="s">
        <v>57</v>
      </c>
      <c r="G372" s="1">
        <v>10</v>
      </c>
      <c r="H372" s="1">
        <v>20</v>
      </c>
      <c r="I372">
        <v>1114</v>
      </c>
      <c r="J372" s="2">
        <v>0.08</v>
      </c>
      <c r="K372" s="1">
        <v>22280</v>
      </c>
      <c r="L372" s="1">
        <v>1782.4</v>
      </c>
      <c r="M372" s="1">
        <v>20497.599999999999</v>
      </c>
      <c r="N372" s="1">
        <v>11140</v>
      </c>
      <c r="O372" s="1">
        <v>9357.5999999999985</v>
      </c>
      <c r="P372">
        <v>1</v>
      </c>
      <c r="Q372">
        <v>3</v>
      </c>
      <c r="R372">
        <v>2014</v>
      </c>
      <c r="S372" s="3">
        <v>41699</v>
      </c>
      <c r="T372" t="str">
        <f t="shared" si="5"/>
        <v>Mid Discount</v>
      </c>
    </row>
    <row r="373" spans="1:20" x14ac:dyDescent="0.25">
      <c r="A373" t="s">
        <v>151</v>
      </c>
      <c r="B373" t="s">
        <v>26</v>
      </c>
      <c r="C373" t="s">
        <v>27</v>
      </c>
      <c r="D373" t="s">
        <v>22</v>
      </c>
      <c r="E373" t="s">
        <v>23</v>
      </c>
      <c r="F373" t="s">
        <v>57</v>
      </c>
      <c r="G373" s="1">
        <v>10</v>
      </c>
      <c r="H373" s="1">
        <v>20</v>
      </c>
      <c r="I373">
        <v>1259</v>
      </c>
      <c r="J373" s="2">
        <v>0.08</v>
      </c>
      <c r="K373" s="1">
        <v>25180</v>
      </c>
      <c r="L373" s="1">
        <v>2014.4</v>
      </c>
      <c r="M373" s="1">
        <v>23165.599999999999</v>
      </c>
      <c r="N373" s="1">
        <v>12590</v>
      </c>
      <c r="O373" s="1">
        <v>10575.599999999999</v>
      </c>
      <c r="P373">
        <v>1</v>
      </c>
      <c r="Q373">
        <v>4</v>
      </c>
      <c r="R373">
        <v>2014</v>
      </c>
      <c r="S373" s="3">
        <v>41730</v>
      </c>
      <c r="T373" t="str">
        <f t="shared" si="5"/>
        <v>Mid Discount</v>
      </c>
    </row>
    <row r="374" spans="1:20" x14ac:dyDescent="0.25">
      <c r="A374" t="s">
        <v>234</v>
      </c>
      <c r="B374" t="s">
        <v>26</v>
      </c>
      <c r="C374" t="s">
        <v>27</v>
      </c>
      <c r="D374" t="s">
        <v>22</v>
      </c>
      <c r="E374" t="s">
        <v>23</v>
      </c>
      <c r="F374" t="s">
        <v>57</v>
      </c>
      <c r="G374" s="1">
        <v>10</v>
      </c>
      <c r="H374" s="1">
        <v>20</v>
      </c>
      <c r="I374">
        <v>1095</v>
      </c>
      <c r="J374" s="2">
        <v>0.08</v>
      </c>
      <c r="K374" s="1">
        <v>21900</v>
      </c>
      <c r="L374" s="1">
        <v>1752</v>
      </c>
      <c r="M374" s="1">
        <v>20148</v>
      </c>
      <c r="N374" s="1">
        <v>10950</v>
      </c>
      <c r="O374" s="1">
        <v>9198</v>
      </c>
      <c r="P374">
        <v>1</v>
      </c>
      <c r="Q374">
        <v>5</v>
      </c>
      <c r="R374">
        <v>2014</v>
      </c>
      <c r="S374" s="3">
        <v>41760</v>
      </c>
      <c r="T374" t="str">
        <f t="shared" si="5"/>
        <v>Mid Discount</v>
      </c>
    </row>
    <row r="375" spans="1:20" x14ac:dyDescent="0.25">
      <c r="A375" t="s">
        <v>59</v>
      </c>
      <c r="B375" t="s">
        <v>26</v>
      </c>
      <c r="C375" t="s">
        <v>27</v>
      </c>
      <c r="D375" t="s">
        <v>22</v>
      </c>
      <c r="E375" t="s">
        <v>23</v>
      </c>
      <c r="F375" t="s">
        <v>57</v>
      </c>
      <c r="G375" s="1">
        <v>10</v>
      </c>
      <c r="H375" s="1">
        <v>20</v>
      </c>
      <c r="I375">
        <v>1366</v>
      </c>
      <c r="J375" s="2">
        <v>0.08</v>
      </c>
      <c r="K375" s="1">
        <v>27320</v>
      </c>
      <c r="L375" s="1">
        <v>2185.6</v>
      </c>
      <c r="M375" s="1">
        <v>25134.400000000001</v>
      </c>
      <c r="N375" s="1">
        <v>13660</v>
      </c>
      <c r="O375" s="1">
        <v>11474.400000000001</v>
      </c>
      <c r="P375">
        <v>1</v>
      </c>
      <c r="Q375">
        <v>6</v>
      </c>
      <c r="R375">
        <v>2014</v>
      </c>
      <c r="S375" s="3">
        <v>41791</v>
      </c>
      <c r="T375" t="str">
        <f t="shared" si="5"/>
        <v>Mid Discount</v>
      </c>
    </row>
    <row r="376" spans="1:20" x14ac:dyDescent="0.25">
      <c r="A376" t="s">
        <v>289</v>
      </c>
      <c r="B376" t="s">
        <v>35</v>
      </c>
      <c r="C376" t="s">
        <v>36</v>
      </c>
      <c r="D376" t="s">
        <v>49</v>
      </c>
      <c r="E376" t="s">
        <v>50</v>
      </c>
      <c r="F376" t="s">
        <v>57</v>
      </c>
      <c r="G376" s="1">
        <v>10</v>
      </c>
      <c r="H376" s="1">
        <v>20</v>
      </c>
      <c r="I376">
        <v>2460</v>
      </c>
      <c r="J376" s="2">
        <v>0.08</v>
      </c>
      <c r="K376" s="1">
        <v>49200</v>
      </c>
      <c r="L376" s="1">
        <v>3936</v>
      </c>
      <c r="M376" s="1">
        <v>45264</v>
      </c>
      <c r="N376" s="1">
        <v>24600</v>
      </c>
      <c r="O376" s="1">
        <v>20664</v>
      </c>
      <c r="P376">
        <v>1</v>
      </c>
      <c r="Q376">
        <v>6</v>
      </c>
      <c r="R376">
        <v>2014</v>
      </c>
      <c r="S376" s="3">
        <v>41791</v>
      </c>
      <c r="T376" t="str">
        <f t="shared" si="5"/>
        <v>Mid Discount</v>
      </c>
    </row>
    <row r="377" spans="1:20" x14ac:dyDescent="0.25">
      <c r="A377" t="s">
        <v>222</v>
      </c>
      <c r="B377" t="s">
        <v>54</v>
      </c>
      <c r="C377" t="s">
        <v>55</v>
      </c>
      <c r="D377" t="s">
        <v>22</v>
      </c>
      <c r="E377" t="s">
        <v>23</v>
      </c>
      <c r="F377" t="s">
        <v>57</v>
      </c>
      <c r="G377" s="1">
        <v>10</v>
      </c>
      <c r="H377" s="1">
        <v>20</v>
      </c>
      <c r="I377">
        <v>678</v>
      </c>
      <c r="J377" s="2">
        <v>0.08</v>
      </c>
      <c r="K377" s="1">
        <v>13560</v>
      </c>
      <c r="L377" s="1">
        <v>1084.8</v>
      </c>
      <c r="M377" s="1">
        <v>12475.2</v>
      </c>
      <c r="N377" s="1">
        <v>6780</v>
      </c>
      <c r="O377" s="1">
        <v>5695.2000000000007</v>
      </c>
      <c r="P377">
        <v>1</v>
      </c>
      <c r="Q377">
        <v>8</v>
      </c>
      <c r="R377">
        <v>2014</v>
      </c>
      <c r="S377" s="3">
        <v>41852</v>
      </c>
      <c r="T377" t="str">
        <f t="shared" si="5"/>
        <v>Mid Discount</v>
      </c>
    </row>
    <row r="378" spans="1:20" x14ac:dyDescent="0.25">
      <c r="A378" t="s">
        <v>250</v>
      </c>
      <c r="B378" t="s">
        <v>26</v>
      </c>
      <c r="C378" t="s">
        <v>27</v>
      </c>
      <c r="D378" t="s">
        <v>22</v>
      </c>
      <c r="E378" t="s">
        <v>23</v>
      </c>
      <c r="F378" t="s">
        <v>57</v>
      </c>
      <c r="G378" s="1">
        <v>10</v>
      </c>
      <c r="H378" s="1">
        <v>20</v>
      </c>
      <c r="I378">
        <v>1598</v>
      </c>
      <c r="J378" s="2">
        <v>0.08</v>
      </c>
      <c r="K378" s="1">
        <v>31960</v>
      </c>
      <c r="L378" s="1">
        <v>2556.8000000000002</v>
      </c>
      <c r="M378" s="1">
        <v>29403.200000000001</v>
      </c>
      <c r="N378" s="1">
        <v>15980</v>
      </c>
      <c r="O378" s="1">
        <v>13423.2</v>
      </c>
      <c r="P378">
        <v>1</v>
      </c>
      <c r="Q378">
        <v>8</v>
      </c>
      <c r="R378">
        <v>2014</v>
      </c>
      <c r="S378" s="3">
        <v>41852</v>
      </c>
      <c r="T378" t="str">
        <f t="shared" si="5"/>
        <v>Mid Discount</v>
      </c>
    </row>
    <row r="379" spans="1:20" x14ac:dyDescent="0.25">
      <c r="A379" t="s">
        <v>158</v>
      </c>
      <c r="B379" t="s">
        <v>26</v>
      </c>
      <c r="C379" t="s">
        <v>27</v>
      </c>
      <c r="D379" t="s">
        <v>22</v>
      </c>
      <c r="E379" t="s">
        <v>23</v>
      </c>
      <c r="F379" t="s">
        <v>57</v>
      </c>
      <c r="G379" s="1">
        <v>10</v>
      </c>
      <c r="H379" s="1">
        <v>20</v>
      </c>
      <c r="I379">
        <v>2409</v>
      </c>
      <c r="J379" s="2">
        <v>0.08</v>
      </c>
      <c r="K379" s="1">
        <v>48180</v>
      </c>
      <c r="L379" s="1">
        <v>3854.4</v>
      </c>
      <c r="M379" s="1">
        <v>44325.599999999999</v>
      </c>
      <c r="N379" s="1">
        <v>24090</v>
      </c>
      <c r="O379" s="1">
        <v>20235.599999999999</v>
      </c>
      <c r="P379">
        <v>1</v>
      </c>
      <c r="Q379">
        <v>9</v>
      </c>
      <c r="R379">
        <v>2013</v>
      </c>
      <c r="S379" s="3">
        <v>41518</v>
      </c>
      <c r="T379" t="str">
        <f t="shared" si="5"/>
        <v>Mid Discount</v>
      </c>
    </row>
    <row r="380" spans="1:20" x14ac:dyDescent="0.25">
      <c r="A380" t="s">
        <v>51</v>
      </c>
      <c r="B380" t="s">
        <v>26</v>
      </c>
      <c r="C380" t="s">
        <v>27</v>
      </c>
      <c r="D380" t="s">
        <v>22</v>
      </c>
      <c r="E380" t="s">
        <v>23</v>
      </c>
      <c r="F380" t="s">
        <v>57</v>
      </c>
      <c r="G380" s="1">
        <v>10</v>
      </c>
      <c r="H380" s="1">
        <v>20</v>
      </c>
      <c r="I380">
        <v>1934</v>
      </c>
      <c r="J380" s="2">
        <v>0.08</v>
      </c>
      <c r="K380" s="1">
        <v>38680</v>
      </c>
      <c r="L380" s="1">
        <v>3094.4</v>
      </c>
      <c r="M380" s="1">
        <v>35585.599999999999</v>
      </c>
      <c r="N380" s="1">
        <v>19340</v>
      </c>
      <c r="O380" s="1">
        <v>16245.599999999999</v>
      </c>
      <c r="P380">
        <v>1</v>
      </c>
      <c r="Q380">
        <v>9</v>
      </c>
      <c r="R380">
        <v>2014</v>
      </c>
      <c r="S380" s="3">
        <v>41883</v>
      </c>
      <c r="T380" t="str">
        <f t="shared" si="5"/>
        <v>Mid Discount</v>
      </c>
    </row>
    <row r="381" spans="1:20" x14ac:dyDescent="0.25">
      <c r="A381" t="s">
        <v>246</v>
      </c>
      <c r="B381" t="s">
        <v>35</v>
      </c>
      <c r="C381" t="s">
        <v>36</v>
      </c>
      <c r="D381" t="s">
        <v>22</v>
      </c>
      <c r="E381" t="s">
        <v>23</v>
      </c>
      <c r="F381" t="s">
        <v>57</v>
      </c>
      <c r="G381" s="1">
        <v>10</v>
      </c>
      <c r="H381" s="1">
        <v>20</v>
      </c>
      <c r="I381">
        <v>2993</v>
      </c>
      <c r="J381" s="2">
        <v>0.08</v>
      </c>
      <c r="K381" s="1">
        <v>59860</v>
      </c>
      <c r="L381" s="1">
        <v>4788.8</v>
      </c>
      <c r="M381" s="1">
        <v>55071.199999999997</v>
      </c>
      <c r="N381" s="1">
        <v>29930</v>
      </c>
      <c r="O381" s="1">
        <v>25141.199999999997</v>
      </c>
      <c r="P381">
        <v>1</v>
      </c>
      <c r="Q381">
        <v>9</v>
      </c>
      <c r="R381">
        <v>2014</v>
      </c>
      <c r="S381" s="3">
        <v>41883</v>
      </c>
      <c r="T381" t="str">
        <f t="shared" si="5"/>
        <v>Mid Discount</v>
      </c>
    </row>
    <row r="382" spans="1:20" x14ac:dyDescent="0.25">
      <c r="A382" t="s">
        <v>204</v>
      </c>
      <c r="B382" t="s">
        <v>26</v>
      </c>
      <c r="C382" t="s">
        <v>27</v>
      </c>
      <c r="D382" t="s">
        <v>22</v>
      </c>
      <c r="E382" t="s">
        <v>23</v>
      </c>
      <c r="F382" t="s">
        <v>57</v>
      </c>
      <c r="G382" s="1">
        <v>10</v>
      </c>
      <c r="H382" s="1">
        <v>20</v>
      </c>
      <c r="I382">
        <v>2146</v>
      </c>
      <c r="J382" s="2">
        <v>0.08</v>
      </c>
      <c r="K382" s="1">
        <v>42920</v>
      </c>
      <c r="L382" s="1">
        <v>3433.6</v>
      </c>
      <c r="M382" s="1">
        <v>39486.400000000001</v>
      </c>
      <c r="N382" s="1">
        <v>21460</v>
      </c>
      <c r="O382" s="1">
        <v>18026.400000000001</v>
      </c>
      <c r="P382">
        <v>1</v>
      </c>
      <c r="Q382">
        <v>11</v>
      </c>
      <c r="R382">
        <v>2013</v>
      </c>
      <c r="S382" s="3">
        <v>41579</v>
      </c>
      <c r="T382" t="str">
        <f t="shared" si="5"/>
        <v>Mid Discount</v>
      </c>
    </row>
    <row r="383" spans="1:20" x14ac:dyDescent="0.25">
      <c r="A383" t="s">
        <v>145</v>
      </c>
      <c r="B383" t="s">
        <v>35</v>
      </c>
      <c r="C383" t="s">
        <v>36</v>
      </c>
      <c r="D383" t="s">
        <v>22</v>
      </c>
      <c r="E383" t="s">
        <v>23</v>
      </c>
      <c r="F383" t="s">
        <v>57</v>
      </c>
      <c r="G383" s="1">
        <v>10</v>
      </c>
      <c r="H383" s="1">
        <v>20</v>
      </c>
      <c r="I383">
        <v>1946</v>
      </c>
      <c r="J383" s="2">
        <v>0.08</v>
      </c>
      <c r="K383" s="1">
        <v>38920</v>
      </c>
      <c r="L383" s="1">
        <v>3113.6</v>
      </c>
      <c r="M383" s="1">
        <v>35806.400000000001</v>
      </c>
      <c r="N383" s="1">
        <v>19460</v>
      </c>
      <c r="O383" s="1">
        <v>16346.400000000001</v>
      </c>
      <c r="P383">
        <v>1</v>
      </c>
      <c r="Q383">
        <v>12</v>
      </c>
      <c r="R383">
        <v>2013</v>
      </c>
      <c r="S383" s="3">
        <v>41609</v>
      </c>
      <c r="T383" t="str">
        <f t="shared" si="5"/>
        <v>Mid Discount</v>
      </c>
    </row>
    <row r="384" spans="1:20" x14ac:dyDescent="0.25">
      <c r="A384" t="s">
        <v>283</v>
      </c>
      <c r="B384" t="s">
        <v>35</v>
      </c>
      <c r="C384" t="s">
        <v>36</v>
      </c>
      <c r="D384" t="s">
        <v>22</v>
      </c>
      <c r="E384" t="s">
        <v>23</v>
      </c>
      <c r="F384" t="s">
        <v>57</v>
      </c>
      <c r="G384" s="1">
        <v>10</v>
      </c>
      <c r="H384" s="1">
        <v>20</v>
      </c>
      <c r="I384">
        <v>1362</v>
      </c>
      <c r="J384" s="2">
        <v>0.08</v>
      </c>
      <c r="K384" s="1">
        <v>27240</v>
      </c>
      <c r="L384" s="1">
        <v>2179.1999999999998</v>
      </c>
      <c r="M384" s="1">
        <v>25060.799999999999</v>
      </c>
      <c r="N384" s="1">
        <v>13620</v>
      </c>
      <c r="O384" s="1">
        <v>11440.8</v>
      </c>
      <c r="P384">
        <v>1</v>
      </c>
      <c r="Q384">
        <v>12</v>
      </c>
      <c r="R384">
        <v>2014</v>
      </c>
      <c r="S384" s="3">
        <v>41974</v>
      </c>
      <c r="T384" t="str">
        <f t="shared" si="5"/>
        <v>Mid Discount</v>
      </c>
    </row>
    <row r="385" spans="1:20" x14ac:dyDescent="0.25">
      <c r="A385" t="s">
        <v>290</v>
      </c>
      <c r="B385" t="s">
        <v>20</v>
      </c>
      <c r="C385" t="s">
        <v>21</v>
      </c>
      <c r="D385" t="s">
        <v>41</v>
      </c>
      <c r="E385" t="s">
        <v>42</v>
      </c>
      <c r="F385" t="s">
        <v>71</v>
      </c>
      <c r="G385" s="1">
        <v>120</v>
      </c>
      <c r="H385" s="1">
        <v>180</v>
      </c>
      <c r="I385">
        <v>598</v>
      </c>
      <c r="J385" s="2">
        <v>0.08</v>
      </c>
      <c r="K385" s="1">
        <v>107640</v>
      </c>
      <c r="L385" s="1">
        <v>8611.2000000000007</v>
      </c>
      <c r="M385" s="1">
        <v>99028.800000000003</v>
      </c>
      <c r="N385" s="1">
        <v>71760</v>
      </c>
      <c r="O385" s="1">
        <v>27268.800000000003</v>
      </c>
      <c r="P385">
        <v>1</v>
      </c>
      <c r="Q385">
        <v>3</v>
      </c>
      <c r="R385">
        <v>2014</v>
      </c>
      <c r="S385" s="3">
        <v>41699</v>
      </c>
      <c r="T385" t="str">
        <f t="shared" si="5"/>
        <v>Mid Discount</v>
      </c>
    </row>
    <row r="386" spans="1:20" x14ac:dyDescent="0.25">
      <c r="A386" t="s">
        <v>213</v>
      </c>
      <c r="B386" t="s">
        <v>54</v>
      </c>
      <c r="C386" t="s">
        <v>55</v>
      </c>
      <c r="D386" t="s">
        <v>22</v>
      </c>
      <c r="E386" t="s">
        <v>23</v>
      </c>
      <c r="F386" t="s">
        <v>71</v>
      </c>
      <c r="G386" s="1">
        <v>120</v>
      </c>
      <c r="H386" s="1">
        <v>180</v>
      </c>
      <c r="I386">
        <v>2907</v>
      </c>
      <c r="J386" s="2">
        <v>0.08</v>
      </c>
      <c r="K386" s="1">
        <v>523260</v>
      </c>
      <c r="L386" s="1">
        <v>41860.800000000003</v>
      </c>
      <c r="M386" s="1">
        <v>481399.2</v>
      </c>
      <c r="N386" s="1">
        <v>348840</v>
      </c>
      <c r="O386" s="1">
        <v>132559.20000000001</v>
      </c>
      <c r="P386">
        <v>1</v>
      </c>
      <c r="Q386">
        <v>6</v>
      </c>
      <c r="R386">
        <v>2014</v>
      </c>
      <c r="S386" s="3">
        <v>41791</v>
      </c>
      <c r="T386" t="str">
        <f t="shared" ref="T386:T449" si="6">_xlfn.IFS(J386=0%,"No Discount",J386&lt;=3%,"Very Low Discount",J386&lt;=6%,"Low Discount",J386&lt;=9%,"Mid Discount",J386&lt;=12%,"High Discount",J386&lt;=15%,"Very High Discount")</f>
        <v>Mid Discount</v>
      </c>
    </row>
    <row r="387" spans="1:20" x14ac:dyDescent="0.25">
      <c r="A387" t="s">
        <v>59</v>
      </c>
      <c r="B387" t="s">
        <v>26</v>
      </c>
      <c r="C387" t="s">
        <v>27</v>
      </c>
      <c r="D387" t="s">
        <v>22</v>
      </c>
      <c r="E387" t="s">
        <v>23</v>
      </c>
      <c r="F387" t="s">
        <v>71</v>
      </c>
      <c r="G387" s="1">
        <v>120</v>
      </c>
      <c r="H387" s="1">
        <v>180</v>
      </c>
      <c r="I387">
        <v>2338</v>
      </c>
      <c r="J387" s="2">
        <v>0.08</v>
      </c>
      <c r="K387" s="1">
        <v>420840</v>
      </c>
      <c r="L387" s="1">
        <v>33667.199999999997</v>
      </c>
      <c r="M387" s="1">
        <v>387172.8</v>
      </c>
      <c r="N387" s="1">
        <v>280560</v>
      </c>
      <c r="O387" s="1">
        <v>106612.79999999999</v>
      </c>
      <c r="P387">
        <v>1</v>
      </c>
      <c r="Q387">
        <v>6</v>
      </c>
      <c r="R387">
        <v>2014</v>
      </c>
      <c r="S387" s="3">
        <v>41791</v>
      </c>
      <c r="T387" t="str">
        <f t="shared" si="6"/>
        <v>Mid Discount</v>
      </c>
    </row>
    <row r="388" spans="1:20" x14ac:dyDescent="0.25">
      <c r="A388" t="s">
        <v>291</v>
      </c>
      <c r="B388" t="s">
        <v>29</v>
      </c>
      <c r="C388" t="s">
        <v>30</v>
      </c>
      <c r="D388" t="s">
        <v>49</v>
      </c>
      <c r="E388" t="s">
        <v>50</v>
      </c>
      <c r="F388" t="s">
        <v>71</v>
      </c>
      <c r="G388" s="1">
        <v>120</v>
      </c>
      <c r="H388" s="1">
        <v>180</v>
      </c>
      <c r="I388">
        <v>386</v>
      </c>
      <c r="J388" s="2">
        <v>0.08</v>
      </c>
      <c r="K388" s="1">
        <v>69480</v>
      </c>
      <c r="L388" s="1">
        <v>5558.4000000000005</v>
      </c>
      <c r="M388" s="1">
        <v>63921.599999999999</v>
      </c>
      <c r="N388" s="1">
        <v>46320</v>
      </c>
      <c r="O388" s="1">
        <v>17601.599999999999</v>
      </c>
      <c r="P388">
        <v>1</v>
      </c>
      <c r="Q388">
        <v>11</v>
      </c>
      <c r="R388">
        <v>2013</v>
      </c>
      <c r="S388" s="3">
        <v>41579</v>
      </c>
      <c r="T388" t="str">
        <f t="shared" si="6"/>
        <v>Mid Discount</v>
      </c>
    </row>
    <row r="389" spans="1:20" x14ac:dyDescent="0.25">
      <c r="A389" t="s">
        <v>292</v>
      </c>
      <c r="B389" t="s">
        <v>35</v>
      </c>
      <c r="C389" t="s">
        <v>36</v>
      </c>
      <c r="D389" t="s">
        <v>49</v>
      </c>
      <c r="E389" t="s">
        <v>50</v>
      </c>
      <c r="F389" t="s">
        <v>71</v>
      </c>
      <c r="G389" s="1">
        <v>120</v>
      </c>
      <c r="H389" s="1">
        <v>180</v>
      </c>
      <c r="I389">
        <v>635</v>
      </c>
      <c r="J389" s="2">
        <v>0.08</v>
      </c>
      <c r="K389" s="1">
        <v>114300</v>
      </c>
      <c r="L389" s="1">
        <v>9144</v>
      </c>
      <c r="M389" s="1">
        <v>105156</v>
      </c>
      <c r="N389" s="1">
        <v>76200</v>
      </c>
      <c r="O389" s="1">
        <v>28956</v>
      </c>
      <c r="P389">
        <v>1</v>
      </c>
      <c r="Q389">
        <v>12</v>
      </c>
      <c r="R389">
        <v>2014</v>
      </c>
      <c r="S389" s="3">
        <v>41974</v>
      </c>
      <c r="T389" t="str">
        <f t="shared" si="6"/>
        <v>Mid Discount</v>
      </c>
    </row>
    <row r="390" spans="1:20" x14ac:dyDescent="0.25">
      <c r="A390" t="s">
        <v>114</v>
      </c>
      <c r="B390" t="s">
        <v>29</v>
      </c>
      <c r="C390" t="s">
        <v>30</v>
      </c>
      <c r="D390" t="s">
        <v>22</v>
      </c>
      <c r="E390" t="s">
        <v>23</v>
      </c>
      <c r="F390" t="s">
        <v>76</v>
      </c>
      <c r="G390" s="1">
        <v>250</v>
      </c>
      <c r="H390" s="1">
        <v>300</v>
      </c>
      <c r="I390">
        <v>574</v>
      </c>
      <c r="J390" s="2">
        <v>8.0069686411149824E-2</v>
      </c>
      <c r="K390" s="1">
        <v>172200</v>
      </c>
      <c r="L390" s="1">
        <v>13788</v>
      </c>
      <c r="M390" s="1">
        <v>158412</v>
      </c>
      <c r="N390" s="1">
        <v>143500</v>
      </c>
      <c r="O390" s="1">
        <v>14912</v>
      </c>
      <c r="P390">
        <v>1</v>
      </c>
      <c r="Q390">
        <v>4</v>
      </c>
      <c r="R390">
        <v>2014</v>
      </c>
      <c r="S390" s="3">
        <v>41730</v>
      </c>
      <c r="T390" t="str">
        <f t="shared" si="6"/>
        <v>Mid Discount</v>
      </c>
    </row>
    <row r="391" spans="1:20" x14ac:dyDescent="0.25">
      <c r="A391" t="s">
        <v>59</v>
      </c>
      <c r="B391" t="s">
        <v>26</v>
      </c>
      <c r="C391" t="s">
        <v>27</v>
      </c>
      <c r="D391" t="s">
        <v>22</v>
      </c>
      <c r="E391" t="s">
        <v>23</v>
      </c>
      <c r="F391" t="s">
        <v>76</v>
      </c>
      <c r="G391" s="1">
        <v>250</v>
      </c>
      <c r="H391" s="1">
        <v>300</v>
      </c>
      <c r="I391">
        <v>2338</v>
      </c>
      <c r="J391" s="2">
        <v>0.08</v>
      </c>
      <c r="K391" s="1">
        <v>701400</v>
      </c>
      <c r="L391" s="1">
        <v>56112</v>
      </c>
      <c r="M391" s="1">
        <v>645288</v>
      </c>
      <c r="N391" s="1">
        <v>584500</v>
      </c>
      <c r="O391" s="1">
        <v>60788</v>
      </c>
      <c r="P391">
        <v>1</v>
      </c>
      <c r="Q391">
        <v>6</v>
      </c>
      <c r="R391">
        <v>2014</v>
      </c>
      <c r="S391" s="3">
        <v>41791</v>
      </c>
      <c r="T391" t="str">
        <f t="shared" si="6"/>
        <v>Mid Discount</v>
      </c>
    </row>
    <row r="392" spans="1:20" x14ac:dyDescent="0.25">
      <c r="A392" t="s">
        <v>223</v>
      </c>
      <c r="B392" t="s">
        <v>29</v>
      </c>
      <c r="C392" t="s">
        <v>30</v>
      </c>
      <c r="D392" t="s">
        <v>22</v>
      </c>
      <c r="E392" t="s">
        <v>23</v>
      </c>
      <c r="F392" t="s">
        <v>76</v>
      </c>
      <c r="G392" s="1">
        <v>250</v>
      </c>
      <c r="H392" s="1">
        <v>300</v>
      </c>
      <c r="I392">
        <v>381</v>
      </c>
      <c r="J392" s="2">
        <v>0.08</v>
      </c>
      <c r="K392" s="1">
        <v>114300</v>
      </c>
      <c r="L392" s="1">
        <v>9144</v>
      </c>
      <c r="M392" s="1">
        <v>105156</v>
      </c>
      <c r="N392" s="1">
        <v>95250</v>
      </c>
      <c r="O392" s="1">
        <v>9906</v>
      </c>
      <c r="P392">
        <v>1</v>
      </c>
      <c r="Q392">
        <v>8</v>
      </c>
      <c r="R392">
        <v>2014</v>
      </c>
      <c r="S392" s="3">
        <v>41852</v>
      </c>
      <c r="T392" t="str">
        <f t="shared" si="6"/>
        <v>Mid Discount</v>
      </c>
    </row>
    <row r="393" spans="1:20" x14ac:dyDescent="0.25">
      <c r="A393" t="s">
        <v>250</v>
      </c>
      <c r="B393" t="s">
        <v>26</v>
      </c>
      <c r="C393" t="s">
        <v>27</v>
      </c>
      <c r="D393" t="s">
        <v>22</v>
      </c>
      <c r="E393" t="s">
        <v>23</v>
      </c>
      <c r="F393" t="s">
        <v>76</v>
      </c>
      <c r="G393" s="1">
        <v>250</v>
      </c>
      <c r="H393" s="1">
        <v>300</v>
      </c>
      <c r="I393">
        <v>422</v>
      </c>
      <c r="J393" s="2">
        <v>0.08</v>
      </c>
      <c r="K393" s="1">
        <v>126600</v>
      </c>
      <c r="L393" s="1">
        <v>10128</v>
      </c>
      <c r="M393" s="1">
        <v>116472</v>
      </c>
      <c r="N393" s="1">
        <v>105500</v>
      </c>
      <c r="O393" s="1">
        <v>10972</v>
      </c>
      <c r="P393">
        <v>1</v>
      </c>
      <c r="Q393">
        <v>8</v>
      </c>
      <c r="R393">
        <v>2014</v>
      </c>
      <c r="S393" s="3">
        <v>41852</v>
      </c>
      <c r="T393" t="str">
        <f t="shared" si="6"/>
        <v>Mid Discount</v>
      </c>
    </row>
    <row r="394" spans="1:20" x14ac:dyDescent="0.25">
      <c r="A394" t="s">
        <v>293</v>
      </c>
      <c r="B394" t="s">
        <v>20</v>
      </c>
      <c r="C394" t="s">
        <v>21</v>
      </c>
      <c r="D394" t="s">
        <v>49</v>
      </c>
      <c r="E394" t="s">
        <v>50</v>
      </c>
      <c r="F394" t="s">
        <v>76</v>
      </c>
      <c r="G394" s="1">
        <v>250</v>
      </c>
      <c r="H394" s="1">
        <v>300</v>
      </c>
      <c r="I394">
        <v>2134</v>
      </c>
      <c r="J394" s="2">
        <v>0.08</v>
      </c>
      <c r="K394" s="1">
        <v>640200</v>
      </c>
      <c r="L394" s="1">
        <v>51216</v>
      </c>
      <c r="M394" s="1">
        <v>588984</v>
      </c>
      <c r="N394" s="1">
        <v>533500</v>
      </c>
      <c r="O394" s="1">
        <v>55484</v>
      </c>
      <c r="P394">
        <v>1</v>
      </c>
      <c r="Q394">
        <v>9</v>
      </c>
      <c r="R394">
        <v>2014</v>
      </c>
      <c r="S394" s="3">
        <v>41883</v>
      </c>
      <c r="T394" t="str">
        <f t="shared" si="6"/>
        <v>Mid Discount</v>
      </c>
    </row>
    <row r="395" spans="1:20" x14ac:dyDescent="0.25">
      <c r="A395" t="s">
        <v>294</v>
      </c>
      <c r="B395" t="s">
        <v>54</v>
      </c>
      <c r="C395" t="s">
        <v>55</v>
      </c>
      <c r="D395" t="s">
        <v>49</v>
      </c>
      <c r="E395" t="s">
        <v>50</v>
      </c>
      <c r="F395" t="s">
        <v>76</v>
      </c>
      <c r="G395" s="1">
        <v>250</v>
      </c>
      <c r="H395" s="1">
        <v>300</v>
      </c>
      <c r="I395">
        <v>808</v>
      </c>
      <c r="J395" s="2">
        <v>0.08</v>
      </c>
      <c r="K395" s="1">
        <v>242400</v>
      </c>
      <c r="L395" s="1">
        <v>19392</v>
      </c>
      <c r="M395" s="1">
        <v>223008</v>
      </c>
      <c r="N395" s="1">
        <v>202000</v>
      </c>
      <c r="O395" s="1">
        <v>21008</v>
      </c>
      <c r="P395">
        <v>1</v>
      </c>
      <c r="Q395">
        <v>12</v>
      </c>
      <c r="R395">
        <v>2013</v>
      </c>
      <c r="S395" s="3">
        <v>41609</v>
      </c>
      <c r="T395" t="str">
        <f t="shared" si="6"/>
        <v>Mid Discount</v>
      </c>
    </row>
    <row r="396" spans="1:20" x14ac:dyDescent="0.25">
      <c r="A396" t="s">
        <v>257</v>
      </c>
      <c r="B396" t="s">
        <v>20</v>
      </c>
      <c r="C396" t="s">
        <v>21</v>
      </c>
      <c r="D396" t="s">
        <v>22</v>
      </c>
      <c r="E396" t="s">
        <v>23</v>
      </c>
      <c r="F396" t="s">
        <v>81</v>
      </c>
      <c r="G396" s="1">
        <v>200</v>
      </c>
      <c r="H396" s="1">
        <v>350</v>
      </c>
      <c r="I396">
        <v>708</v>
      </c>
      <c r="J396" s="2">
        <v>0.08</v>
      </c>
      <c r="K396" s="1">
        <v>247800</v>
      </c>
      <c r="L396" s="1">
        <v>19824</v>
      </c>
      <c r="M396" s="1">
        <v>227976</v>
      </c>
      <c r="N396" s="1">
        <v>141600</v>
      </c>
      <c r="O396" s="1">
        <v>86376</v>
      </c>
      <c r="P396">
        <v>1</v>
      </c>
      <c r="Q396">
        <v>6</v>
      </c>
      <c r="R396">
        <v>2014</v>
      </c>
      <c r="S396" s="3">
        <v>41791</v>
      </c>
      <c r="T396" t="str">
        <f t="shared" si="6"/>
        <v>Mid Discount</v>
      </c>
    </row>
    <row r="397" spans="1:20" x14ac:dyDescent="0.25">
      <c r="A397" t="s">
        <v>213</v>
      </c>
      <c r="B397" t="s">
        <v>54</v>
      </c>
      <c r="C397" t="s">
        <v>55</v>
      </c>
      <c r="D397" t="s">
        <v>22</v>
      </c>
      <c r="E397" t="s">
        <v>23</v>
      </c>
      <c r="F397" t="s">
        <v>81</v>
      </c>
      <c r="G397" s="1">
        <v>200</v>
      </c>
      <c r="H397" s="1">
        <v>350</v>
      </c>
      <c r="I397">
        <v>2907</v>
      </c>
      <c r="J397" s="2">
        <v>0.08</v>
      </c>
      <c r="K397" s="1">
        <v>1017450</v>
      </c>
      <c r="L397" s="1">
        <v>81396</v>
      </c>
      <c r="M397" s="1">
        <v>936054</v>
      </c>
      <c r="N397" s="1">
        <v>581400</v>
      </c>
      <c r="O397" s="1">
        <v>354654</v>
      </c>
      <c r="P397">
        <v>1</v>
      </c>
      <c r="Q397">
        <v>6</v>
      </c>
      <c r="R397">
        <v>2014</v>
      </c>
      <c r="S397" s="3">
        <v>41791</v>
      </c>
      <c r="T397" t="str">
        <f t="shared" si="6"/>
        <v>Mid Discount</v>
      </c>
    </row>
    <row r="398" spans="1:20" x14ac:dyDescent="0.25">
      <c r="A398" t="s">
        <v>59</v>
      </c>
      <c r="B398" t="s">
        <v>26</v>
      </c>
      <c r="C398" t="s">
        <v>27</v>
      </c>
      <c r="D398" t="s">
        <v>22</v>
      </c>
      <c r="E398" t="s">
        <v>23</v>
      </c>
      <c r="F398" t="s">
        <v>81</v>
      </c>
      <c r="G398" s="1">
        <v>200</v>
      </c>
      <c r="H398" s="1">
        <v>350</v>
      </c>
      <c r="I398">
        <v>1366</v>
      </c>
      <c r="J398" s="2">
        <v>0.08</v>
      </c>
      <c r="K398" s="1">
        <v>478100</v>
      </c>
      <c r="L398" s="1">
        <v>38248</v>
      </c>
      <c r="M398" s="1">
        <v>439852</v>
      </c>
      <c r="N398" s="1">
        <v>273200</v>
      </c>
      <c r="O398" s="1">
        <v>166652</v>
      </c>
      <c r="P398">
        <v>1</v>
      </c>
      <c r="Q398">
        <v>6</v>
      </c>
      <c r="R398">
        <v>2014</v>
      </c>
      <c r="S398" s="3">
        <v>41791</v>
      </c>
      <c r="T398" t="str">
        <f t="shared" si="6"/>
        <v>Mid Discount</v>
      </c>
    </row>
    <row r="399" spans="1:20" x14ac:dyDescent="0.25">
      <c r="A399" t="s">
        <v>289</v>
      </c>
      <c r="B399" t="s">
        <v>35</v>
      </c>
      <c r="C399" t="s">
        <v>36</v>
      </c>
      <c r="D399" t="s">
        <v>49</v>
      </c>
      <c r="E399" t="s">
        <v>50</v>
      </c>
      <c r="F399" t="s">
        <v>81</v>
      </c>
      <c r="G399" s="1">
        <v>200</v>
      </c>
      <c r="H399" s="1">
        <v>350</v>
      </c>
      <c r="I399">
        <v>2460</v>
      </c>
      <c r="J399" s="2">
        <v>0.08</v>
      </c>
      <c r="K399" s="1">
        <v>861000</v>
      </c>
      <c r="L399" s="1">
        <v>68880</v>
      </c>
      <c r="M399" s="1">
        <v>792120</v>
      </c>
      <c r="N399" s="1">
        <v>492000</v>
      </c>
      <c r="O399" s="1">
        <v>300120</v>
      </c>
      <c r="P399">
        <v>1</v>
      </c>
      <c r="Q399">
        <v>6</v>
      </c>
      <c r="R399">
        <v>2014</v>
      </c>
      <c r="S399" s="3">
        <v>41791</v>
      </c>
      <c r="T399" t="str">
        <f t="shared" si="6"/>
        <v>Mid Discount</v>
      </c>
    </row>
    <row r="400" spans="1:20" x14ac:dyDescent="0.25">
      <c r="A400" t="s">
        <v>295</v>
      </c>
      <c r="B400" t="s">
        <v>26</v>
      </c>
      <c r="C400" t="s">
        <v>27</v>
      </c>
      <c r="D400" t="s">
        <v>22</v>
      </c>
      <c r="E400" t="s">
        <v>23</v>
      </c>
      <c r="F400" t="s">
        <v>81</v>
      </c>
      <c r="G400" s="1">
        <v>200</v>
      </c>
      <c r="H400" s="1">
        <v>350</v>
      </c>
      <c r="I400">
        <v>1520</v>
      </c>
      <c r="J400" s="2">
        <v>0.08</v>
      </c>
      <c r="K400" s="1">
        <v>532000</v>
      </c>
      <c r="L400" s="1">
        <v>42560</v>
      </c>
      <c r="M400" s="1">
        <v>489440</v>
      </c>
      <c r="N400" s="1">
        <v>304000</v>
      </c>
      <c r="O400" s="1">
        <v>185440</v>
      </c>
      <c r="P400">
        <v>1</v>
      </c>
      <c r="Q400">
        <v>11</v>
      </c>
      <c r="R400">
        <v>2014</v>
      </c>
      <c r="S400" s="3">
        <v>41944</v>
      </c>
      <c r="T400" t="str">
        <f t="shared" si="6"/>
        <v>Mid Discount</v>
      </c>
    </row>
    <row r="401" spans="1:20" x14ac:dyDescent="0.25">
      <c r="A401" t="s">
        <v>287</v>
      </c>
      <c r="B401" t="s">
        <v>26</v>
      </c>
      <c r="C401" t="s">
        <v>27</v>
      </c>
      <c r="D401" t="s">
        <v>31</v>
      </c>
      <c r="E401" t="s">
        <v>32</v>
      </c>
      <c r="F401" t="s">
        <v>81</v>
      </c>
      <c r="G401" s="1">
        <v>200</v>
      </c>
      <c r="H401" s="1">
        <v>350</v>
      </c>
      <c r="I401">
        <v>711</v>
      </c>
      <c r="J401" s="2">
        <v>0.08</v>
      </c>
      <c r="K401" s="1">
        <v>248850</v>
      </c>
      <c r="L401" s="1">
        <v>19908</v>
      </c>
      <c r="M401" s="1">
        <v>228942</v>
      </c>
      <c r="N401" s="1">
        <v>142200</v>
      </c>
      <c r="O401" s="1">
        <v>86742</v>
      </c>
      <c r="P401">
        <v>1</v>
      </c>
      <c r="Q401">
        <v>12</v>
      </c>
      <c r="R401">
        <v>2014</v>
      </c>
      <c r="S401" s="3">
        <v>41974</v>
      </c>
      <c r="T401" t="str">
        <f t="shared" si="6"/>
        <v>Mid Discount</v>
      </c>
    </row>
    <row r="402" spans="1:20" x14ac:dyDescent="0.25">
      <c r="A402" t="s">
        <v>296</v>
      </c>
      <c r="B402" t="s">
        <v>35</v>
      </c>
      <c r="C402" t="s">
        <v>36</v>
      </c>
      <c r="D402" t="s">
        <v>41</v>
      </c>
      <c r="E402" t="s">
        <v>42</v>
      </c>
      <c r="F402" t="s">
        <v>81</v>
      </c>
      <c r="G402" s="1">
        <v>200</v>
      </c>
      <c r="H402" s="1">
        <v>350</v>
      </c>
      <c r="I402">
        <v>1375</v>
      </c>
      <c r="J402" s="2">
        <v>0.08</v>
      </c>
      <c r="K402" s="1">
        <v>481250</v>
      </c>
      <c r="L402" s="1">
        <v>38500</v>
      </c>
      <c r="M402" s="1">
        <v>442750</v>
      </c>
      <c r="N402" s="1">
        <v>275000</v>
      </c>
      <c r="O402" s="1">
        <v>167750</v>
      </c>
      <c r="P402">
        <v>1</v>
      </c>
      <c r="Q402">
        <v>12</v>
      </c>
      <c r="R402">
        <v>2013</v>
      </c>
      <c r="S402" s="3">
        <v>41609</v>
      </c>
      <c r="T402" t="str">
        <f t="shared" si="6"/>
        <v>Mid Discount</v>
      </c>
    </row>
    <row r="403" spans="1:20" x14ac:dyDescent="0.25">
      <c r="A403" t="s">
        <v>292</v>
      </c>
      <c r="B403" t="s">
        <v>35</v>
      </c>
      <c r="C403" t="s">
        <v>36</v>
      </c>
      <c r="D403" t="s">
        <v>49</v>
      </c>
      <c r="E403" t="s">
        <v>50</v>
      </c>
      <c r="F403" t="s">
        <v>81</v>
      </c>
      <c r="G403" s="1">
        <v>200</v>
      </c>
      <c r="H403" s="1">
        <v>350</v>
      </c>
      <c r="I403">
        <v>635</v>
      </c>
      <c r="J403" s="2">
        <v>0.08</v>
      </c>
      <c r="K403" s="1">
        <v>222250</v>
      </c>
      <c r="L403" s="1">
        <v>17780</v>
      </c>
      <c r="M403" s="1">
        <v>204470</v>
      </c>
      <c r="N403" s="1">
        <v>127000</v>
      </c>
      <c r="O403" s="1">
        <v>77470</v>
      </c>
      <c r="P403">
        <v>1</v>
      </c>
      <c r="Q403">
        <v>12</v>
      </c>
      <c r="R403">
        <v>2014</v>
      </c>
      <c r="S403" s="3">
        <v>41974</v>
      </c>
      <c r="T403" t="str">
        <f t="shared" si="6"/>
        <v>Mid Discount</v>
      </c>
    </row>
    <row r="404" spans="1:20" x14ac:dyDescent="0.25">
      <c r="A404" t="s">
        <v>93</v>
      </c>
      <c r="B404" t="s">
        <v>54</v>
      </c>
      <c r="C404" t="s">
        <v>55</v>
      </c>
      <c r="D404" t="s">
        <v>22</v>
      </c>
      <c r="E404" t="s">
        <v>23</v>
      </c>
      <c r="F404" t="s">
        <v>76</v>
      </c>
      <c r="G404" s="1">
        <v>250</v>
      </c>
      <c r="H404" s="1">
        <v>300</v>
      </c>
      <c r="I404">
        <v>436</v>
      </c>
      <c r="J404" s="2">
        <v>8.0091743119266048E-2</v>
      </c>
      <c r="K404" s="1">
        <v>130800</v>
      </c>
      <c r="L404" s="1">
        <v>10476</v>
      </c>
      <c r="M404" s="1">
        <v>120324</v>
      </c>
      <c r="N404" s="1">
        <v>109000</v>
      </c>
      <c r="O404" s="1">
        <v>11324</v>
      </c>
      <c r="P404">
        <v>1</v>
      </c>
      <c r="Q404">
        <v>7</v>
      </c>
      <c r="R404">
        <v>2014</v>
      </c>
      <c r="S404" s="3">
        <v>41821</v>
      </c>
      <c r="T404" t="str">
        <f t="shared" si="6"/>
        <v>Mid Discount</v>
      </c>
    </row>
    <row r="405" spans="1:20" x14ac:dyDescent="0.25">
      <c r="A405" t="s">
        <v>297</v>
      </c>
      <c r="B405" t="s">
        <v>20</v>
      </c>
      <c r="C405" t="s">
        <v>21</v>
      </c>
      <c r="D405" t="s">
        <v>49</v>
      </c>
      <c r="E405" t="s">
        <v>50</v>
      </c>
      <c r="F405" t="s">
        <v>24</v>
      </c>
      <c r="G405" s="1">
        <v>3</v>
      </c>
      <c r="H405" s="1">
        <v>20</v>
      </c>
      <c r="I405">
        <v>1094</v>
      </c>
      <c r="J405" s="2">
        <v>0.09</v>
      </c>
      <c r="K405" s="1">
        <v>21880</v>
      </c>
      <c r="L405" s="1">
        <v>1969.1999999999998</v>
      </c>
      <c r="M405" s="1">
        <v>19910.8</v>
      </c>
      <c r="N405" s="1">
        <v>3282</v>
      </c>
      <c r="O405" s="1">
        <v>16628.8</v>
      </c>
      <c r="P405">
        <v>1</v>
      </c>
      <c r="Q405">
        <v>6</v>
      </c>
      <c r="R405">
        <v>2014</v>
      </c>
      <c r="S405" s="3">
        <v>41791</v>
      </c>
      <c r="T405" t="str">
        <f t="shared" si="6"/>
        <v>Mid Discount</v>
      </c>
    </row>
    <row r="406" spans="1:20" x14ac:dyDescent="0.25">
      <c r="A406" t="s">
        <v>298</v>
      </c>
      <c r="B406" t="s">
        <v>35</v>
      </c>
      <c r="C406" t="s">
        <v>36</v>
      </c>
      <c r="D406" t="s">
        <v>41</v>
      </c>
      <c r="E406" t="s">
        <v>42</v>
      </c>
      <c r="F406" t="s">
        <v>24</v>
      </c>
      <c r="G406" s="1">
        <v>3</v>
      </c>
      <c r="H406" s="1">
        <v>20</v>
      </c>
      <c r="I406">
        <v>367</v>
      </c>
      <c r="J406" s="2">
        <v>0.09</v>
      </c>
      <c r="K406" s="1">
        <v>7340</v>
      </c>
      <c r="L406" s="1">
        <v>660.6</v>
      </c>
      <c r="M406" s="1">
        <v>6679.4</v>
      </c>
      <c r="N406" s="1">
        <v>1101</v>
      </c>
      <c r="O406" s="1">
        <v>5578.4</v>
      </c>
      <c r="P406">
        <v>1</v>
      </c>
      <c r="Q406">
        <v>10</v>
      </c>
      <c r="R406">
        <v>2013</v>
      </c>
      <c r="S406" s="3">
        <v>41548</v>
      </c>
      <c r="T406" t="str">
        <f t="shared" si="6"/>
        <v>Mid Discount</v>
      </c>
    </row>
    <row r="407" spans="1:20" x14ac:dyDescent="0.25">
      <c r="A407" t="s">
        <v>299</v>
      </c>
      <c r="B407" t="s">
        <v>20</v>
      </c>
      <c r="C407" t="s">
        <v>21</v>
      </c>
      <c r="D407" t="s">
        <v>49</v>
      </c>
      <c r="E407" t="s">
        <v>50</v>
      </c>
      <c r="F407" t="s">
        <v>39</v>
      </c>
      <c r="G407" s="1">
        <v>5</v>
      </c>
      <c r="H407" s="1">
        <v>15</v>
      </c>
      <c r="I407">
        <v>3802</v>
      </c>
      <c r="J407" s="2">
        <v>9.0011835875854818E-2</v>
      </c>
      <c r="K407" s="1">
        <v>57030</v>
      </c>
      <c r="L407" s="1">
        <v>5133.375</v>
      </c>
      <c r="M407" s="1">
        <v>51896.625</v>
      </c>
      <c r="N407" s="1">
        <v>19010</v>
      </c>
      <c r="O407" s="1">
        <v>32886.625</v>
      </c>
      <c r="P407">
        <v>1</v>
      </c>
      <c r="Q407">
        <v>4</v>
      </c>
      <c r="R407">
        <v>2014</v>
      </c>
      <c r="S407" s="3">
        <v>41730</v>
      </c>
      <c r="T407" t="str">
        <f t="shared" si="6"/>
        <v>High Discount</v>
      </c>
    </row>
    <row r="408" spans="1:20" x14ac:dyDescent="0.25">
      <c r="A408" t="s">
        <v>88</v>
      </c>
      <c r="B408" t="s">
        <v>29</v>
      </c>
      <c r="C408" t="s">
        <v>30</v>
      </c>
      <c r="D408" t="s">
        <v>22</v>
      </c>
      <c r="E408" t="s">
        <v>23</v>
      </c>
      <c r="F408" t="s">
        <v>39</v>
      </c>
      <c r="G408" s="1">
        <v>5</v>
      </c>
      <c r="H408" s="1">
        <v>15</v>
      </c>
      <c r="I408">
        <v>1666</v>
      </c>
      <c r="J408" s="2">
        <v>0.09</v>
      </c>
      <c r="K408" s="1">
        <v>24990</v>
      </c>
      <c r="L408" s="1">
        <v>2249.1</v>
      </c>
      <c r="M408" s="1">
        <v>22740.9</v>
      </c>
      <c r="N408" s="1">
        <v>8330</v>
      </c>
      <c r="O408" s="1">
        <v>14410.900000000001</v>
      </c>
      <c r="P408">
        <v>1</v>
      </c>
      <c r="Q408">
        <v>5</v>
      </c>
      <c r="R408">
        <v>2014</v>
      </c>
      <c r="S408" s="3">
        <v>41760</v>
      </c>
      <c r="T408" t="str">
        <f t="shared" si="6"/>
        <v>Mid Discount</v>
      </c>
    </row>
    <row r="409" spans="1:20" x14ac:dyDescent="0.25">
      <c r="A409" t="s">
        <v>300</v>
      </c>
      <c r="B409" t="s">
        <v>29</v>
      </c>
      <c r="C409" t="s">
        <v>30</v>
      </c>
      <c r="D409" t="s">
        <v>49</v>
      </c>
      <c r="E409" t="s">
        <v>50</v>
      </c>
      <c r="F409" t="s">
        <v>39</v>
      </c>
      <c r="G409" s="1">
        <v>5</v>
      </c>
      <c r="H409" s="1">
        <v>15</v>
      </c>
      <c r="I409">
        <v>322</v>
      </c>
      <c r="J409" s="2">
        <v>0.09</v>
      </c>
      <c r="K409" s="1">
        <v>4830</v>
      </c>
      <c r="L409" s="1">
        <v>434.7</v>
      </c>
      <c r="M409" s="1">
        <v>4395.3</v>
      </c>
      <c r="N409" s="1">
        <v>1610</v>
      </c>
      <c r="O409" s="1">
        <v>2785.3</v>
      </c>
      <c r="P409">
        <v>1</v>
      </c>
      <c r="Q409">
        <v>9</v>
      </c>
      <c r="R409">
        <v>2013</v>
      </c>
      <c r="S409" s="3">
        <v>41518</v>
      </c>
      <c r="T409" t="str">
        <f t="shared" si="6"/>
        <v>Mid Discount</v>
      </c>
    </row>
    <row r="410" spans="1:20" x14ac:dyDescent="0.25">
      <c r="A410" t="s">
        <v>301</v>
      </c>
      <c r="B410" t="s">
        <v>20</v>
      </c>
      <c r="C410" t="s">
        <v>21</v>
      </c>
      <c r="D410" t="s">
        <v>41</v>
      </c>
      <c r="E410" t="s">
        <v>42</v>
      </c>
      <c r="F410" t="s">
        <v>39</v>
      </c>
      <c r="G410" s="1">
        <v>5</v>
      </c>
      <c r="H410" s="1">
        <v>15</v>
      </c>
      <c r="I410">
        <v>2321</v>
      </c>
      <c r="J410" s="2">
        <v>0.09</v>
      </c>
      <c r="K410" s="1">
        <v>34815</v>
      </c>
      <c r="L410" s="1">
        <v>3133.35</v>
      </c>
      <c r="M410" s="1">
        <v>31681.65</v>
      </c>
      <c r="N410" s="1">
        <v>11605</v>
      </c>
      <c r="O410" s="1">
        <v>20076.650000000001</v>
      </c>
      <c r="P410">
        <v>1</v>
      </c>
      <c r="Q410">
        <v>11</v>
      </c>
      <c r="R410">
        <v>2014</v>
      </c>
      <c r="S410" s="3">
        <v>41944</v>
      </c>
      <c r="T410" t="str">
        <f t="shared" si="6"/>
        <v>Mid Discount</v>
      </c>
    </row>
    <row r="411" spans="1:20" x14ac:dyDescent="0.25">
      <c r="A411" t="s">
        <v>302</v>
      </c>
      <c r="B411" t="s">
        <v>29</v>
      </c>
      <c r="C411" t="s">
        <v>30</v>
      </c>
      <c r="D411" t="s">
        <v>46</v>
      </c>
      <c r="E411" t="s">
        <v>47</v>
      </c>
      <c r="F411" t="s">
        <v>39</v>
      </c>
      <c r="G411" s="1">
        <v>5</v>
      </c>
      <c r="H411" s="1">
        <v>15</v>
      </c>
      <c r="I411">
        <v>1857</v>
      </c>
      <c r="J411" s="2">
        <v>0.09</v>
      </c>
      <c r="K411" s="1">
        <v>27855</v>
      </c>
      <c r="L411" s="1">
        <v>2506.9499999999998</v>
      </c>
      <c r="M411" s="1">
        <v>25348.05</v>
      </c>
      <c r="N411" s="1">
        <v>9285</v>
      </c>
      <c r="O411" s="1">
        <v>16063.05</v>
      </c>
      <c r="P411">
        <v>1</v>
      </c>
      <c r="Q411">
        <v>11</v>
      </c>
      <c r="R411">
        <v>2013</v>
      </c>
      <c r="S411" s="3">
        <v>41579</v>
      </c>
      <c r="T411" t="str">
        <f t="shared" si="6"/>
        <v>Mid Discount</v>
      </c>
    </row>
    <row r="412" spans="1:20" x14ac:dyDescent="0.25">
      <c r="A412" t="s">
        <v>197</v>
      </c>
      <c r="B412" t="s">
        <v>20</v>
      </c>
      <c r="C412" t="s">
        <v>21</v>
      </c>
      <c r="D412" t="s">
        <v>22</v>
      </c>
      <c r="E412" t="s">
        <v>23</v>
      </c>
      <c r="F412" t="s">
        <v>39</v>
      </c>
      <c r="G412" s="1">
        <v>5</v>
      </c>
      <c r="H412" s="1">
        <v>15</v>
      </c>
      <c r="I412">
        <v>1611</v>
      </c>
      <c r="J412" s="2">
        <v>0.09</v>
      </c>
      <c r="K412" s="1">
        <v>24165</v>
      </c>
      <c r="L412" s="1">
        <v>2174.85</v>
      </c>
      <c r="M412" s="1">
        <v>21990.15</v>
      </c>
      <c r="N412" s="1">
        <v>8055</v>
      </c>
      <c r="O412" s="1">
        <v>13935.150000000001</v>
      </c>
      <c r="P412">
        <v>1</v>
      </c>
      <c r="Q412">
        <v>12</v>
      </c>
      <c r="R412">
        <v>2013</v>
      </c>
      <c r="S412" s="3">
        <v>41609</v>
      </c>
      <c r="T412" t="str">
        <f t="shared" si="6"/>
        <v>Mid Discount</v>
      </c>
    </row>
    <row r="413" spans="1:20" x14ac:dyDescent="0.25">
      <c r="A413" t="s">
        <v>303</v>
      </c>
      <c r="B413" t="s">
        <v>54</v>
      </c>
      <c r="C413" t="s">
        <v>55</v>
      </c>
      <c r="D413" t="s">
        <v>46</v>
      </c>
      <c r="E413" t="s">
        <v>47</v>
      </c>
      <c r="F413" t="s">
        <v>39</v>
      </c>
      <c r="G413" s="1">
        <v>5</v>
      </c>
      <c r="H413" s="1">
        <v>15</v>
      </c>
      <c r="I413">
        <v>2797</v>
      </c>
      <c r="J413" s="2">
        <v>0.09</v>
      </c>
      <c r="K413" s="1">
        <v>41955</v>
      </c>
      <c r="L413" s="1">
        <v>3775.95</v>
      </c>
      <c r="M413" s="1">
        <v>38179.050000000003</v>
      </c>
      <c r="N413" s="1">
        <v>13985</v>
      </c>
      <c r="O413" s="1">
        <v>24194.050000000003</v>
      </c>
      <c r="P413">
        <v>1</v>
      </c>
      <c r="Q413">
        <v>12</v>
      </c>
      <c r="R413">
        <v>2014</v>
      </c>
      <c r="S413" s="3">
        <v>41974</v>
      </c>
      <c r="T413" t="str">
        <f t="shared" si="6"/>
        <v>Mid Discount</v>
      </c>
    </row>
    <row r="414" spans="1:20" x14ac:dyDescent="0.25">
      <c r="A414" t="s">
        <v>304</v>
      </c>
      <c r="B414" t="s">
        <v>26</v>
      </c>
      <c r="C414" t="s">
        <v>27</v>
      </c>
      <c r="D414" t="s">
        <v>49</v>
      </c>
      <c r="E414" t="s">
        <v>50</v>
      </c>
      <c r="F414" t="s">
        <v>39</v>
      </c>
      <c r="G414" s="1">
        <v>5</v>
      </c>
      <c r="H414" s="1">
        <v>15</v>
      </c>
      <c r="I414">
        <v>334</v>
      </c>
      <c r="J414" s="2">
        <v>0.09</v>
      </c>
      <c r="K414" s="1">
        <v>5010</v>
      </c>
      <c r="L414" s="1">
        <v>450.9</v>
      </c>
      <c r="M414" s="1">
        <v>4559.1000000000004</v>
      </c>
      <c r="N414" s="1">
        <v>1670</v>
      </c>
      <c r="O414" s="1">
        <v>2889.1000000000004</v>
      </c>
      <c r="P414">
        <v>1</v>
      </c>
      <c r="Q414">
        <v>12</v>
      </c>
      <c r="R414">
        <v>2013</v>
      </c>
      <c r="S414" s="3">
        <v>41609</v>
      </c>
      <c r="T414" t="str">
        <f t="shared" si="6"/>
        <v>Mid Discount</v>
      </c>
    </row>
    <row r="415" spans="1:20" x14ac:dyDescent="0.25">
      <c r="A415" t="s">
        <v>305</v>
      </c>
      <c r="B415" t="s">
        <v>35</v>
      </c>
      <c r="C415" t="s">
        <v>36</v>
      </c>
      <c r="D415" t="s">
        <v>49</v>
      </c>
      <c r="E415" t="s">
        <v>50</v>
      </c>
      <c r="F415" t="s">
        <v>57</v>
      </c>
      <c r="G415" s="1">
        <v>10</v>
      </c>
      <c r="H415" s="1">
        <v>20</v>
      </c>
      <c r="I415">
        <v>2565</v>
      </c>
      <c r="J415" s="2">
        <v>0.09</v>
      </c>
      <c r="K415" s="1">
        <v>51300</v>
      </c>
      <c r="L415" s="1">
        <v>4617</v>
      </c>
      <c r="M415" s="1">
        <v>46683</v>
      </c>
      <c r="N415" s="1">
        <v>25650</v>
      </c>
      <c r="O415" s="1">
        <v>21033</v>
      </c>
      <c r="P415">
        <v>1</v>
      </c>
      <c r="Q415">
        <v>1</v>
      </c>
      <c r="R415">
        <v>2014</v>
      </c>
      <c r="S415" s="3">
        <v>41640</v>
      </c>
      <c r="T415" t="str">
        <f t="shared" si="6"/>
        <v>Mid Discount</v>
      </c>
    </row>
    <row r="416" spans="1:20" x14ac:dyDescent="0.25">
      <c r="A416" t="s">
        <v>70</v>
      </c>
      <c r="B416" t="s">
        <v>35</v>
      </c>
      <c r="C416" t="s">
        <v>36</v>
      </c>
      <c r="D416" t="s">
        <v>22</v>
      </c>
      <c r="E416" t="s">
        <v>23</v>
      </c>
      <c r="F416" t="s">
        <v>57</v>
      </c>
      <c r="G416" s="1">
        <v>10</v>
      </c>
      <c r="H416" s="1">
        <v>20</v>
      </c>
      <c r="I416">
        <v>2417</v>
      </c>
      <c r="J416" s="2">
        <v>0.09</v>
      </c>
      <c r="K416" s="1">
        <v>48340</v>
      </c>
      <c r="L416" s="1">
        <v>4350.5999999999995</v>
      </c>
      <c r="M416" s="1">
        <v>43989.4</v>
      </c>
      <c r="N416" s="1">
        <v>24170</v>
      </c>
      <c r="O416" s="1">
        <v>19819.400000000001</v>
      </c>
      <c r="P416">
        <v>1</v>
      </c>
      <c r="Q416">
        <v>1</v>
      </c>
      <c r="R416">
        <v>2014</v>
      </c>
      <c r="S416" s="3">
        <v>41640</v>
      </c>
      <c r="T416" t="str">
        <f t="shared" si="6"/>
        <v>Mid Discount</v>
      </c>
    </row>
    <row r="417" spans="1:20" x14ac:dyDescent="0.25">
      <c r="A417" t="s">
        <v>306</v>
      </c>
      <c r="B417" t="s">
        <v>54</v>
      </c>
      <c r="C417" t="s">
        <v>55</v>
      </c>
      <c r="D417" t="s">
        <v>31</v>
      </c>
      <c r="E417" t="s">
        <v>32</v>
      </c>
      <c r="F417" t="s">
        <v>57</v>
      </c>
      <c r="G417" s="1">
        <v>10</v>
      </c>
      <c r="H417" s="1">
        <v>20</v>
      </c>
      <c r="I417">
        <v>3675</v>
      </c>
      <c r="J417" s="2">
        <v>0.09</v>
      </c>
      <c r="K417" s="1">
        <v>73500</v>
      </c>
      <c r="L417" s="1">
        <v>6615</v>
      </c>
      <c r="M417" s="1">
        <v>66885</v>
      </c>
      <c r="N417" s="1">
        <v>36750</v>
      </c>
      <c r="O417" s="1">
        <v>30135</v>
      </c>
      <c r="P417">
        <v>1</v>
      </c>
      <c r="Q417">
        <v>4</v>
      </c>
      <c r="R417">
        <v>2014</v>
      </c>
      <c r="S417" s="3">
        <v>41730</v>
      </c>
      <c r="T417" t="str">
        <f t="shared" si="6"/>
        <v>Mid Discount</v>
      </c>
    </row>
    <row r="418" spans="1:20" x14ac:dyDescent="0.25">
      <c r="A418" t="s">
        <v>297</v>
      </c>
      <c r="B418" t="s">
        <v>20</v>
      </c>
      <c r="C418" t="s">
        <v>21</v>
      </c>
      <c r="D418" t="s">
        <v>49</v>
      </c>
      <c r="E418" t="s">
        <v>50</v>
      </c>
      <c r="F418" t="s">
        <v>57</v>
      </c>
      <c r="G418" s="1">
        <v>10</v>
      </c>
      <c r="H418" s="1">
        <v>20</v>
      </c>
      <c r="I418">
        <v>1094</v>
      </c>
      <c r="J418" s="2">
        <v>0.09</v>
      </c>
      <c r="K418" s="1">
        <v>21880</v>
      </c>
      <c r="L418" s="1">
        <v>1969.1999999999998</v>
      </c>
      <c r="M418" s="1">
        <v>19910.8</v>
      </c>
      <c r="N418" s="1">
        <v>10940</v>
      </c>
      <c r="O418" s="1">
        <v>8970.7999999999993</v>
      </c>
      <c r="P418">
        <v>1</v>
      </c>
      <c r="Q418">
        <v>6</v>
      </c>
      <c r="R418">
        <v>2014</v>
      </c>
      <c r="S418" s="3">
        <v>41791</v>
      </c>
      <c r="T418" t="str">
        <f t="shared" si="6"/>
        <v>Mid Discount</v>
      </c>
    </row>
    <row r="419" spans="1:20" x14ac:dyDescent="0.25">
      <c r="A419" t="s">
        <v>307</v>
      </c>
      <c r="B419" t="s">
        <v>29</v>
      </c>
      <c r="C419" t="s">
        <v>30</v>
      </c>
      <c r="D419" t="s">
        <v>31</v>
      </c>
      <c r="E419" t="s">
        <v>32</v>
      </c>
      <c r="F419" t="s">
        <v>57</v>
      </c>
      <c r="G419" s="1">
        <v>10</v>
      </c>
      <c r="H419" s="1">
        <v>20</v>
      </c>
      <c r="I419">
        <v>1227</v>
      </c>
      <c r="J419" s="2">
        <v>0.09</v>
      </c>
      <c r="K419" s="1">
        <v>24540</v>
      </c>
      <c r="L419" s="1">
        <v>2208.6</v>
      </c>
      <c r="M419" s="1">
        <v>22331.4</v>
      </c>
      <c r="N419" s="1">
        <v>12270</v>
      </c>
      <c r="O419" s="1">
        <v>10061.400000000001</v>
      </c>
      <c r="P419">
        <v>1</v>
      </c>
      <c r="Q419">
        <v>10</v>
      </c>
      <c r="R419">
        <v>2014</v>
      </c>
      <c r="S419" s="3">
        <v>41913</v>
      </c>
      <c r="T419" t="str">
        <f t="shared" si="6"/>
        <v>Mid Discount</v>
      </c>
    </row>
    <row r="420" spans="1:20" x14ac:dyDescent="0.25">
      <c r="A420" t="s">
        <v>298</v>
      </c>
      <c r="B420" t="s">
        <v>35</v>
      </c>
      <c r="C420" t="s">
        <v>36</v>
      </c>
      <c r="D420" t="s">
        <v>41</v>
      </c>
      <c r="E420" t="s">
        <v>42</v>
      </c>
      <c r="F420" t="s">
        <v>57</v>
      </c>
      <c r="G420" s="1">
        <v>10</v>
      </c>
      <c r="H420" s="1">
        <v>20</v>
      </c>
      <c r="I420">
        <v>367</v>
      </c>
      <c r="J420" s="2">
        <v>0.09</v>
      </c>
      <c r="K420" s="1">
        <v>7340</v>
      </c>
      <c r="L420" s="1">
        <v>660.6</v>
      </c>
      <c r="M420" s="1">
        <v>6679.4</v>
      </c>
      <c r="N420" s="1">
        <v>3670</v>
      </c>
      <c r="O420" s="1">
        <v>3009.3999999999996</v>
      </c>
      <c r="P420">
        <v>1</v>
      </c>
      <c r="Q420">
        <v>10</v>
      </c>
      <c r="R420">
        <v>2013</v>
      </c>
      <c r="S420" s="3">
        <v>41548</v>
      </c>
      <c r="T420" t="str">
        <f t="shared" si="6"/>
        <v>Mid Discount</v>
      </c>
    </row>
    <row r="421" spans="1:20" x14ac:dyDescent="0.25">
      <c r="A421" t="s">
        <v>308</v>
      </c>
      <c r="B421" t="s">
        <v>29</v>
      </c>
      <c r="C421" t="s">
        <v>30</v>
      </c>
      <c r="D421" t="s">
        <v>49</v>
      </c>
      <c r="E421" t="s">
        <v>50</v>
      </c>
      <c r="F421" t="s">
        <v>57</v>
      </c>
      <c r="G421" s="1">
        <v>10</v>
      </c>
      <c r="H421" s="1">
        <v>20</v>
      </c>
      <c r="I421">
        <v>1324</v>
      </c>
      <c r="J421" s="2">
        <v>0.09</v>
      </c>
      <c r="K421" s="1">
        <v>26480</v>
      </c>
      <c r="L421" s="1">
        <v>2383.1999999999998</v>
      </c>
      <c r="M421" s="1">
        <v>24096.799999999999</v>
      </c>
      <c r="N421" s="1">
        <v>13240</v>
      </c>
      <c r="O421" s="1">
        <v>10856.8</v>
      </c>
      <c r="P421">
        <v>1</v>
      </c>
      <c r="Q421">
        <v>11</v>
      </c>
      <c r="R421">
        <v>2014</v>
      </c>
      <c r="S421" s="3">
        <v>41944</v>
      </c>
      <c r="T421" t="str">
        <f t="shared" si="6"/>
        <v>Mid Discount</v>
      </c>
    </row>
    <row r="422" spans="1:20" x14ac:dyDescent="0.25">
      <c r="A422" t="s">
        <v>309</v>
      </c>
      <c r="B422" t="s">
        <v>26</v>
      </c>
      <c r="C422" t="s">
        <v>27</v>
      </c>
      <c r="D422" t="s">
        <v>41</v>
      </c>
      <c r="E422" t="s">
        <v>42</v>
      </c>
      <c r="F422" t="s">
        <v>57</v>
      </c>
      <c r="G422" s="1">
        <v>10</v>
      </c>
      <c r="H422" s="1">
        <v>20</v>
      </c>
      <c r="I422">
        <v>1775</v>
      </c>
      <c r="J422" s="2">
        <v>0.09</v>
      </c>
      <c r="K422" s="1">
        <v>35500</v>
      </c>
      <c r="L422" s="1">
        <v>3195</v>
      </c>
      <c r="M422" s="1">
        <v>32305</v>
      </c>
      <c r="N422" s="1">
        <v>17750</v>
      </c>
      <c r="O422" s="1">
        <v>14555</v>
      </c>
      <c r="P422">
        <v>1</v>
      </c>
      <c r="Q422">
        <v>11</v>
      </c>
      <c r="R422">
        <v>2013</v>
      </c>
      <c r="S422" s="3">
        <v>41579</v>
      </c>
      <c r="T422" t="str">
        <f t="shared" si="6"/>
        <v>Mid Discount</v>
      </c>
    </row>
    <row r="423" spans="1:20" x14ac:dyDescent="0.25">
      <c r="A423" t="s">
        <v>303</v>
      </c>
      <c r="B423" t="s">
        <v>54</v>
      </c>
      <c r="C423" t="s">
        <v>55</v>
      </c>
      <c r="D423" t="s">
        <v>46</v>
      </c>
      <c r="E423" t="s">
        <v>47</v>
      </c>
      <c r="F423" t="s">
        <v>57</v>
      </c>
      <c r="G423" s="1">
        <v>10</v>
      </c>
      <c r="H423" s="1">
        <v>20</v>
      </c>
      <c r="I423">
        <v>2797</v>
      </c>
      <c r="J423" s="2">
        <v>0.09</v>
      </c>
      <c r="K423" s="1">
        <v>55940</v>
      </c>
      <c r="L423" s="1">
        <v>5034.5999999999995</v>
      </c>
      <c r="M423" s="1">
        <v>50905.4</v>
      </c>
      <c r="N423" s="1">
        <v>27970</v>
      </c>
      <c r="O423" s="1">
        <v>22935.4</v>
      </c>
      <c r="P423">
        <v>1</v>
      </c>
      <c r="Q423">
        <v>12</v>
      </c>
      <c r="R423">
        <v>2014</v>
      </c>
      <c r="S423" s="3">
        <v>41974</v>
      </c>
      <c r="T423" t="str">
        <f t="shared" si="6"/>
        <v>Mid Discount</v>
      </c>
    </row>
    <row r="424" spans="1:20" x14ac:dyDescent="0.25">
      <c r="A424" t="s">
        <v>310</v>
      </c>
      <c r="B424" t="s">
        <v>35</v>
      </c>
      <c r="C424" t="s">
        <v>36</v>
      </c>
      <c r="D424" t="s">
        <v>31</v>
      </c>
      <c r="E424" t="s">
        <v>32</v>
      </c>
      <c r="F424" t="s">
        <v>71</v>
      </c>
      <c r="G424" s="1">
        <v>120</v>
      </c>
      <c r="H424" s="1">
        <v>180</v>
      </c>
      <c r="I424">
        <v>245</v>
      </c>
      <c r="J424" s="2">
        <v>0.09</v>
      </c>
      <c r="K424" s="1">
        <v>44100</v>
      </c>
      <c r="L424" s="1">
        <v>3969</v>
      </c>
      <c r="M424" s="1">
        <v>40131</v>
      </c>
      <c r="N424" s="1">
        <v>29400</v>
      </c>
      <c r="O424" s="1">
        <v>10731</v>
      </c>
      <c r="P424">
        <v>1</v>
      </c>
      <c r="Q424">
        <v>5</v>
      </c>
      <c r="R424">
        <v>2014</v>
      </c>
      <c r="S424" s="3">
        <v>41760</v>
      </c>
      <c r="T424" t="str">
        <f t="shared" si="6"/>
        <v>Mid Discount</v>
      </c>
    </row>
    <row r="425" spans="1:20" x14ac:dyDescent="0.25">
      <c r="A425" t="s">
        <v>311</v>
      </c>
      <c r="B425" t="s">
        <v>20</v>
      </c>
      <c r="C425" t="s">
        <v>21</v>
      </c>
      <c r="D425" t="s">
        <v>49</v>
      </c>
      <c r="E425" t="s">
        <v>50</v>
      </c>
      <c r="F425" t="s">
        <v>71</v>
      </c>
      <c r="G425" s="1">
        <v>120</v>
      </c>
      <c r="H425" s="1">
        <v>180</v>
      </c>
      <c r="I425">
        <v>3793</v>
      </c>
      <c r="J425" s="2">
        <v>9.0011863959926178E-2</v>
      </c>
      <c r="K425" s="1">
        <v>682740</v>
      </c>
      <c r="L425" s="1">
        <v>61454.7</v>
      </c>
      <c r="M425" s="1">
        <v>621285.30000000005</v>
      </c>
      <c r="N425" s="1">
        <v>455160</v>
      </c>
      <c r="O425" s="1">
        <v>166125.30000000005</v>
      </c>
      <c r="P425">
        <v>1</v>
      </c>
      <c r="Q425">
        <v>7</v>
      </c>
      <c r="R425">
        <v>2014</v>
      </c>
      <c r="S425" s="3">
        <v>41821</v>
      </c>
      <c r="T425" t="str">
        <f t="shared" si="6"/>
        <v>High Discount</v>
      </c>
    </row>
    <row r="426" spans="1:20" x14ac:dyDescent="0.25">
      <c r="A426" t="s">
        <v>84</v>
      </c>
      <c r="B426" t="s">
        <v>26</v>
      </c>
      <c r="C426" t="s">
        <v>27</v>
      </c>
      <c r="D426" t="s">
        <v>22</v>
      </c>
      <c r="E426" t="s">
        <v>23</v>
      </c>
      <c r="F426" t="s">
        <v>71</v>
      </c>
      <c r="G426" s="1">
        <v>120</v>
      </c>
      <c r="H426" s="1">
        <v>180</v>
      </c>
      <c r="I426">
        <v>1307</v>
      </c>
      <c r="J426" s="2">
        <v>0.09</v>
      </c>
      <c r="K426" s="1">
        <v>235260</v>
      </c>
      <c r="L426" s="1">
        <v>21173.399999999998</v>
      </c>
      <c r="M426" s="1">
        <v>214086.6</v>
      </c>
      <c r="N426" s="1">
        <v>156840</v>
      </c>
      <c r="O426" s="1">
        <v>57246.600000000006</v>
      </c>
      <c r="P426">
        <v>1</v>
      </c>
      <c r="Q426">
        <v>7</v>
      </c>
      <c r="R426">
        <v>2014</v>
      </c>
      <c r="S426" s="3">
        <v>41821</v>
      </c>
      <c r="T426" t="str">
        <f t="shared" si="6"/>
        <v>Mid Discount</v>
      </c>
    </row>
    <row r="427" spans="1:20" x14ac:dyDescent="0.25">
      <c r="A427" t="s">
        <v>312</v>
      </c>
      <c r="B427" t="s">
        <v>20</v>
      </c>
      <c r="C427" t="s">
        <v>21</v>
      </c>
      <c r="D427" t="s">
        <v>46</v>
      </c>
      <c r="E427" t="s">
        <v>47</v>
      </c>
      <c r="F427" t="s">
        <v>71</v>
      </c>
      <c r="G427" s="1">
        <v>120</v>
      </c>
      <c r="H427" s="1">
        <v>180</v>
      </c>
      <c r="I427">
        <v>567</v>
      </c>
      <c r="J427" s="2">
        <v>0.09</v>
      </c>
      <c r="K427" s="1">
        <v>102060</v>
      </c>
      <c r="L427" s="1">
        <v>9185.4</v>
      </c>
      <c r="M427" s="1">
        <v>92874.6</v>
      </c>
      <c r="N427" s="1">
        <v>68040</v>
      </c>
      <c r="O427" s="1">
        <v>24834.600000000006</v>
      </c>
      <c r="P427">
        <v>1</v>
      </c>
      <c r="Q427">
        <v>9</v>
      </c>
      <c r="R427">
        <v>2014</v>
      </c>
      <c r="S427" s="3">
        <v>41883</v>
      </c>
      <c r="T427" t="str">
        <f t="shared" si="6"/>
        <v>Mid Discount</v>
      </c>
    </row>
    <row r="428" spans="1:20" x14ac:dyDescent="0.25">
      <c r="A428" t="s">
        <v>313</v>
      </c>
      <c r="B428" t="s">
        <v>35</v>
      </c>
      <c r="C428" t="s">
        <v>36</v>
      </c>
      <c r="D428" t="s">
        <v>46</v>
      </c>
      <c r="E428" t="s">
        <v>47</v>
      </c>
      <c r="F428" t="s">
        <v>71</v>
      </c>
      <c r="G428" s="1">
        <v>120</v>
      </c>
      <c r="H428" s="1">
        <v>180</v>
      </c>
      <c r="I428">
        <v>2110</v>
      </c>
      <c r="J428" s="2">
        <v>0.09</v>
      </c>
      <c r="K428" s="1">
        <v>379800</v>
      </c>
      <c r="L428" s="1">
        <v>34182</v>
      </c>
      <c r="M428" s="1">
        <v>345618</v>
      </c>
      <c r="N428" s="1">
        <v>253200</v>
      </c>
      <c r="O428" s="1">
        <v>92418</v>
      </c>
      <c r="P428">
        <v>1</v>
      </c>
      <c r="Q428">
        <v>9</v>
      </c>
      <c r="R428">
        <v>2014</v>
      </c>
      <c r="S428" s="3">
        <v>41883</v>
      </c>
      <c r="T428" t="str">
        <f t="shared" si="6"/>
        <v>Mid Discount</v>
      </c>
    </row>
    <row r="429" spans="1:20" x14ac:dyDescent="0.25">
      <c r="A429" t="s">
        <v>314</v>
      </c>
      <c r="B429" t="s">
        <v>20</v>
      </c>
      <c r="C429" t="s">
        <v>21</v>
      </c>
      <c r="D429" t="s">
        <v>22</v>
      </c>
      <c r="E429" t="s">
        <v>23</v>
      </c>
      <c r="F429" t="s">
        <v>71</v>
      </c>
      <c r="G429" s="1">
        <v>120</v>
      </c>
      <c r="H429" s="1">
        <v>180</v>
      </c>
      <c r="I429">
        <v>1269</v>
      </c>
      <c r="J429" s="2">
        <v>0.09</v>
      </c>
      <c r="K429" s="1">
        <v>228420</v>
      </c>
      <c r="L429" s="1">
        <v>20557.8</v>
      </c>
      <c r="M429" s="1">
        <v>207862.2</v>
      </c>
      <c r="N429" s="1">
        <v>152280</v>
      </c>
      <c r="O429" s="1">
        <v>55582.200000000012</v>
      </c>
      <c r="P429">
        <v>1</v>
      </c>
      <c r="Q429">
        <v>10</v>
      </c>
      <c r="R429">
        <v>2014</v>
      </c>
      <c r="S429" s="3">
        <v>41913</v>
      </c>
      <c r="T429" t="str">
        <f t="shared" si="6"/>
        <v>Mid Discount</v>
      </c>
    </row>
    <row r="430" spans="1:20" x14ac:dyDescent="0.25">
      <c r="A430" t="s">
        <v>315</v>
      </c>
      <c r="B430" t="s">
        <v>54</v>
      </c>
      <c r="C430" t="s">
        <v>55</v>
      </c>
      <c r="D430" t="s">
        <v>41</v>
      </c>
      <c r="E430" t="s">
        <v>42</v>
      </c>
      <c r="F430" t="s">
        <v>76</v>
      </c>
      <c r="G430" s="1">
        <v>250</v>
      </c>
      <c r="H430" s="1">
        <v>300</v>
      </c>
      <c r="I430">
        <v>1956</v>
      </c>
      <c r="J430" s="2">
        <v>0.09</v>
      </c>
      <c r="K430" s="1">
        <v>586800</v>
      </c>
      <c r="L430" s="1">
        <v>52812</v>
      </c>
      <c r="M430" s="1">
        <v>533988</v>
      </c>
      <c r="N430" s="1">
        <v>489000</v>
      </c>
      <c r="O430" s="1">
        <v>44988</v>
      </c>
      <c r="P430">
        <v>1</v>
      </c>
      <c r="Q430">
        <v>1</v>
      </c>
      <c r="R430">
        <v>2014</v>
      </c>
      <c r="S430" s="3">
        <v>41640</v>
      </c>
      <c r="T430" t="str">
        <f t="shared" si="6"/>
        <v>Mid Discount</v>
      </c>
    </row>
    <row r="431" spans="1:20" x14ac:dyDescent="0.25">
      <c r="A431" t="s">
        <v>316</v>
      </c>
      <c r="B431" t="s">
        <v>26</v>
      </c>
      <c r="C431" t="s">
        <v>27</v>
      </c>
      <c r="D431" t="s">
        <v>49</v>
      </c>
      <c r="E431" t="s">
        <v>50</v>
      </c>
      <c r="F431" t="s">
        <v>76</v>
      </c>
      <c r="G431" s="1">
        <v>250</v>
      </c>
      <c r="H431" s="1">
        <v>300</v>
      </c>
      <c r="I431">
        <v>2659</v>
      </c>
      <c r="J431" s="2">
        <v>0.09</v>
      </c>
      <c r="K431" s="1">
        <v>797700</v>
      </c>
      <c r="L431" s="1">
        <v>71793</v>
      </c>
      <c r="M431" s="1">
        <v>725907</v>
      </c>
      <c r="N431" s="1">
        <v>664750</v>
      </c>
      <c r="O431" s="1">
        <v>61157</v>
      </c>
      <c r="P431">
        <v>1</v>
      </c>
      <c r="Q431">
        <v>2</v>
      </c>
      <c r="R431">
        <v>2014</v>
      </c>
      <c r="S431" s="3">
        <v>41671</v>
      </c>
      <c r="T431" t="str">
        <f t="shared" si="6"/>
        <v>Mid Discount</v>
      </c>
    </row>
    <row r="432" spans="1:20" x14ac:dyDescent="0.25">
      <c r="A432" t="s">
        <v>108</v>
      </c>
      <c r="B432" t="s">
        <v>54</v>
      </c>
      <c r="C432" t="s">
        <v>55</v>
      </c>
      <c r="D432" t="s">
        <v>22</v>
      </c>
      <c r="E432" t="s">
        <v>23</v>
      </c>
      <c r="F432" t="s">
        <v>76</v>
      </c>
      <c r="G432" s="1">
        <v>250</v>
      </c>
      <c r="H432" s="1">
        <v>300</v>
      </c>
      <c r="I432">
        <v>1351</v>
      </c>
      <c r="J432" s="2">
        <v>9.0033308660251665E-2</v>
      </c>
      <c r="K432" s="1">
        <v>405300</v>
      </c>
      <c r="L432" s="1">
        <v>36490.5</v>
      </c>
      <c r="M432" s="1">
        <v>368809.5</v>
      </c>
      <c r="N432" s="1">
        <v>337750</v>
      </c>
      <c r="O432" s="1">
        <v>31059.5</v>
      </c>
      <c r="P432">
        <v>1</v>
      </c>
      <c r="Q432">
        <v>4</v>
      </c>
      <c r="R432">
        <v>2014</v>
      </c>
      <c r="S432" s="3">
        <v>41730</v>
      </c>
      <c r="T432" t="str">
        <f t="shared" si="6"/>
        <v>High Discount</v>
      </c>
    </row>
    <row r="433" spans="1:20" x14ac:dyDescent="0.25">
      <c r="A433" t="s">
        <v>317</v>
      </c>
      <c r="B433" t="s">
        <v>26</v>
      </c>
      <c r="C433" t="s">
        <v>27</v>
      </c>
      <c r="D433" t="s">
        <v>41</v>
      </c>
      <c r="E433" t="s">
        <v>42</v>
      </c>
      <c r="F433" t="s">
        <v>76</v>
      </c>
      <c r="G433" s="1">
        <v>250</v>
      </c>
      <c r="H433" s="1">
        <v>300</v>
      </c>
      <c r="I433">
        <v>880</v>
      </c>
      <c r="J433" s="2">
        <v>0.09</v>
      </c>
      <c r="K433" s="1">
        <v>264000</v>
      </c>
      <c r="L433" s="1">
        <v>23760</v>
      </c>
      <c r="M433" s="1">
        <v>240240</v>
      </c>
      <c r="N433" s="1">
        <v>220000</v>
      </c>
      <c r="O433" s="1">
        <v>20240</v>
      </c>
      <c r="P433">
        <v>1</v>
      </c>
      <c r="Q433">
        <v>5</v>
      </c>
      <c r="R433">
        <v>2014</v>
      </c>
      <c r="S433" s="3">
        <v>41760</v>
      </c>
      <c r="T433" t="str">
        <f t="shared" si="6"/>
        <v>Mid Discount</v>
      </c>
    </row>
    <row r="434" spans="1:20" x14ac:dyDescent="0.25">
      <c r="A434" t="s">
        <v>318</v>
      </c>
      <c r="B434" t="s">
        <v>54</v>
      </c>
      <c r="C434" t="s">
        <v>55</v>
      </c>
      <c r="D434" t="s">
        <v>49</v>
      </c>
      <c r="E434" t="s">
        <v>50</v>
      </c>
      <c r="F434" t="s">
        <v>76</v>
      </c>
      <c r="G434" s="1">
        <v>250</v>
      </c>
      <c r="H434" s="1">
        <v>300</v>
      </c>
      <c r="I434">
        <v>1867</v>
      </c>
      <c r="J434" s="2">
        <v>0.09</v>
      </c>
      <c r="K434" s="1">
        <v>560100</v>
      </c>
      <c r="L434" s="1">
        <v>50409</v>
      </c>
      <c r="M434" s="1">
        <v>509691</v>
      </c>
      <c r="N434" s="1">
        <v>466750</v>
      </c>
      <c r="O434" s="1">
        <v>42941</v>
      </c>
      <c r="P434">
        <v>1</v>
      </c>
      <c r="Q434">
        <v>9</v>
      </c>
      <c r="R434">
        <v>2014</v>
      </c>
      <c r="S434" s="3">
        <v>41883</v>
      </c>
      <c r="T434" t="str">
        <f t="shared" si="6"/>
        <v>Mid Discount</v>
      </c>
    </row>
    <row r="435" spans="1:20" x14ac:dyDescent="0.25">
      <c r="A435" t="s">
        <v>319</v>
      </c>
      <c r="B435" t="s">
        <v>29</v>
      </c>
      <c r="C435" t="s">
        <v>30</v>
      </c>
      <c r="D435" t="s">
        <v>41</v>
      </c>
      <c r="E435" t="s">
        <v>42</v>
      </c>
      <c r="F435" t="s">
        <v>76</v>
      </c>
      <c r="G435" s="1">
        <v>250</v>
      </c>
      <c r="H435" s="1">
        <v>300</v>
      </c>
      <c r="I435">
        <v>2234</v>
      </c>
      <c r="J435" s="2">
        <v>0.09</v>
      </c>
      <c r="K435" s="1">
        <v>670200</v>
      </c>
      <c r="L435" s="1">
        <v>60318</v>
      </c>
      <c r="M435" s="1">
        <v>609882</v>
      </c>
      <c r="N435" s="1">
        <v>558500</v>
      </c>
      <c r="O435" s="1">
        <v>51382</v>
      </c>
      <c r="P435">
        <v>1</v>
      </c>
      <c r="Q435">
        <v>9</v>
      </c>
      <c r="R435">
        <v>2013</v>
      </c>
      <c r="S435" s="3">
        <v>41518</v>
      </c>
      <c r="T435" t="str">
        <f t="shared" si="6"/>
        <v>Mid Discount</v>
      </c>
    </row>
    <row r="436" spans="1:20" x14ac:dyDescent="0.25">
      <c r="A436" t="s">
        <v>307</v>
      </c>
      <c r="B436" t="s">
        <v>29</v>
      </c>
      <c r="C436" t="s">
        <v>30</v>
      </c>
      <c r="D436" t="s">
        <v>31</v>
      </c>
      <c r="E436" t="s">
        <v>32</v>
      </c>
      <c r="F436" t="s">
        <v>76</v>
      </c>
      <c r="G436" s="1">
        <v>250</v>
      </c>
      <c r="H436" s="1">
        <v>300</v>
      </c>
      <c r="I436">
        <v>1227</v>
      </c>
      <c r="J436" s="2">
        <v>0.09</v>
      </c>
      <c r="K436" s="1">
        <v>368100</v>
      </c>
      <c r="L436" s="1">
        <v>33129</v>
      </c>
      <c r="M436" s="1">
        <v>334971</v>
      </c>
      <c r="N436" s="1">
        <v>306750</v>
      </c>
      <c r="O436" s="1">
        <v>28221</v>
      </c>
      <c r="P436">
        <v>1</v>
      </c>
      <c r="Q436">
        <v>10</v>
      </c>
      <c r="R436">
        <v>2014</v>
      </c>
      <c r="S436" s="3">
        <v>41913</v>
      </c>
      <c r="T436" t="str">
        <f t="shared" si="6"/>
        <v>Mid Discount</v>
      </c>
    </row>
    <row r="437" spans="1:20" x14ac:dyDescent="0.25">
      <c r="A437" t="s">
        <v>320</v>
      </c>
      <c r="B437" t="s">
        <v>35</v>
      </c>
      <c r="C437" t="s">
        <v>36</v>
      </c>
      <c r="D437" t="s">
        <v>46</v>
      </c>
      <c r="E437" t="s">
        <v>47</v>
      </c>
      <c r="F437" t="s">
        <v>76</v>
      </c>
      <c r="G437" s="1">
        <v>250</v>
      </c>
      <c r="H437" s="1">
        <v>300</v>
      </c>
      <c r="I437">
        <v>877</v>
      </c>
      <c r="J437" s="2">
        <v>0.09</v>
      </c>
      <c r="K437" s="1">
        <v>263100</v>
      </c>
      <c r="L437" s="1">
        <v>23679</v>
      </c>
      <c r="M437" s="1">
        <v>239421</v>
      </c>
      <c r="N437" s="1">
        <v>219250</v>
      </c>
      <c r="O437" s="1">
        <v>20171</v>
      </c>
      <c r="P437">
        <v>1</v>
      </c>
      <c r="Q437">
        <v>11</v>
      </c>
      <c r="R437">
        <v>2014</v>
      </c>
      <c r="S437" s="3">
        <v>41944</v>
      </c>
      <c r="T437" t="str">
        <f t="shared" si="6"/>
        <v>Mid Discount</v>
      </c>
    </row>
    <row r="438" spans="1:20" x14ac:dyDescent="0.25">
      <c r="A438" t="s">
        <v>188</v>
      </c>
      <c r="B438" t="s">
        <v>54</v>
      </c>
      <c r="C438" t="s">
        <v>55</v>
      </c>
      <c r="D438" t="s">
        <v>22</v>
      </c>
      <c r="E438" t="s">
        <v>23</v>
      </c>
      <c r="F438" t="s">
        <v>81</v>
      </c>
      <c r="G438" s="1">
        <v>200</v>
      </c>
      <c r="H438" s="1">
        <v>350</v>
      </c>
      <c r="I438">
        <v>2071</v>
      </c>
      <c r="J438" s="2">
        <v>0.09</v>
      </c>
      <c r="K438" s="1">
        <v>724850</v>
      </c>
      <c r="L438" s="1">
        <v>65236.5</v>
      </c>
      <c r="M438" s="1">
        <v>659613.5</v>
      </c>
      <c r="N438" s="1">
        <v>414200</v>
      </c>
      <c r="O438" s="1">
        <v>245413.5</v>
      </c>
      <c r="P438">
        <v>1</v>
      </c>
      <c r="Q438">
        <v>9</v>
      </c>
      <c r="R438">
        <v>2014</v>
      </c>
      <c r="S438" s="3">
        <v>41883</v>
      </c>
      <c r="T438" t="str">
        <f t="shared" si="6"/>
        <v>Mid Discount</v>
      </c>
    </row>
    <row r="439" spans="1:20" x14ac:dyDescent="0.25">
      <c r="A439" t="s">
        <v>314</v>
      </c>
      <c r="B439" t="s">
        <v>20</v>
      </c>
      <c r="C439" t="s">
        <v>21</v>
      </c>
      <c r="D439" t="s">
        <v>22</v>
      </c>
      <c r="E439" t="s">
        <v>23</v>
      </c>
      <c r="F439" t="s">
        <v>81</v>
      </c>
      <c r="G439" s="1">
        <v>200</v>
      </c>
      <c r="H439" s="1">
        <v>350</v>
      </c>
      <c r="I439">
        <v>1269</v>
      </c>
      <c r="J439" s="2">
        <v>0.09</v>
      </c>
      <c r="K439" s="1">
        <v>444150</v>
      </c>
      <c r="L439" s="1">
        <v>39973.5</v>
      </c>
      <c r="M439" s="1">
        <v>404176.5</v>
      </c>
      <c r="N439" s="1">
        <v>253800</v>
      </c>
      <c r="O439" s="1">
        <v>150376.5</v>
      </c>
      <c r="P439">
        <v>1</v>
      </c>
      <c r="Q439">
        <v>10</v>
      </c>
      <c r="R439">
        <v>2014</v>
      </c>
      <c r="S439" s="3">
        <v>41913</v>
      </c>
      <c r="T439" t="str">
        <f t="shared" si="6"/>
        <v>Mid Discount</v>
      </c>
    </row>
    <row r="440" spans="1:20" x14ac:dyDescent="0.25">
      <c r="A440" t="s">
        <v>321</v>
      </c>
      <c r="B440" t="s">
        <v>26</v>
      </c>
      <c r="C440" t="s">
        <v>27</v>
      </c>
      <c r="D440" t="s">
        <v>31</v>
      </c>
      <c r="E440" t="s">
        <v>32</v>
      </c>
      <c r="F440" t="s">
        <v>81</v>
      </c>
      <c r="G440" s="1">
        <v>200</v>
      </c>
      <c r="H440" s="1">
        <v>350</v>
      </c>
      <c r="I440">
        <v>970</v>
      </c>
      <c r="J440" s="2">
        <v>0.09</v>
      </c>
      <c r="K440" s="1">
        <v>339500</v>
      </c>
      <c r="L440" s="1">
        <v>30555</v>
      </c>
      <c r="M440" s="1">
        <v>308945</v>
      </c>
      <c r="N440" s="1">
        <v>194000</v>
      </c>
      <c r="O440" s="1">
        <v>114945</v>
      </c>
      <c r="P440">
        <v>1</v>
      </c>
      <c r="Q440">
        <v>11</v>
      </c>
      <c r="R440">
        <v>2013</v>
      </c>
      <c r="S440" s="3">
        <v>41579</v>
      </c>
      <c r="T440" t="str">
        <f t="shared" si="6"/>
        <v>Mid Discount</v>
      </c>
    </row>
    <row r="441" spans="1:20" x14ac:dyDescent="0.25">
      <c r="A441" t="s">
        <v>251</v>
      </c>
      <c r="B441" t="s">
        <v>35</v>
      </c>
      <c r="C441" t="s">
        <v>36</v>
      </c>
      <c r="D441" t="s">
        <v>22</v>
      </c>
      <c r="E441" t="s">
        <v>23</v>
      </c>
      <c r="F441" t="s">
        <v>81</v>
      </c>
      <c r="G441" s="1">
        <v>200</v>
      </c>
      <c r="H441" s="1">
        <v>350</v>
      </c>
      <c r="I441">
        <v>1694</v>
      </c>
      <c r="J441" s="2">
        <v>0.09</v>
      </c>
      <c r="K441" s="1">
        <v>592900</v>
      </c>
      <c r="L441" s="1">
        <v>53361</v>
      </c>
      <c r="M441" s="1">
        <v>539539</v>
      </c>
      <c r="N441" s="1">
        <v>338800</v>
      </c>
      <c r="O441" s="1">
        <v>200739</v>
      </c>
      <c r="P441">
        <v>1</v>
      </c>
      <c r="Q441">
        <v>11</v>
      </c>
      <c r="R441">
        <v>2014</v>
      </c>
      <c r="S441" s="3">
        <v>41944</v>
      </c>
      <c r="T441" t="str">
        <f t="shared" si="6"/>
        <v>Mid Discount</v>
      </c>
    </row>
    <row r="442" spans="1:20" x14ac:dyDescent="0.25">
      <c r="A442" t="s">
        <v>234</v>
      </c>
      <c r="B442" t="s">
        <v>26</v>
      </c>
      <c r="C442" t="s">
        <v>27</v>
      </c>
      <c r="D442" t="s">
        <v>22</v>
      </c>
      <c r="E442" t="s">
        <v>23</v>
      </c>
      <c r="F442" t="s">
        <v>24</v>
      </c>
      <c r="G442" s="1">
        <v>3</v>
      </c>
      <c r="H442" s="1">
        <v>20</v>
      </c>
      <c r="I442">
        <v>663</v>
      </c>
      <c r="J442" s="2">
        <v>9.0000000000000011E-2</v>
      </c>
      <c r="K442" s="1">
        <v>13260</v>
      </c>
      <c r="L442" s="1">
        <v>1193.4000000000001</v>
      </c>
      <c r="M442" s="1">
        <v>12066.6</v>
      </c>
      <c r="N442" s="1">
        <v>1989</v>
      </c>
      <c r="O442" s="1">
        <v>10077.6</v>
      </c>
      <c r="P442">
        <v>1</v>
      </c>
      <c r="Q442">
        <v>5</v>
      </c>
      <c r="R442">
        <v>2014</v>
      </c>
      <c r="S442" s="3">
        <v>41760</v>
      </c>
      <c r="T442" t="str">
        <f t="shared" si="6"/>
        <v>Mid Discount</v>
      </c>
    </row>
    <row r="443" spans="1:20" x14ac:dyDescent="0.25">
      <c r="A443" t="s">
        <v>322</v>
      </c>
      <c r="B443" t="s">
        <v>20</v>
      </c>
      <c r="C443" t="s">
        <v>21</v>
      </c>
      <c r="D443" t="s">
        <v>22</v>
      </c>
      <c r="E443" t="s">
        <v>23</v>
      </c>
      <c r="F443" t="s">
        <v>24</v>
      </c>
      <c r="G443" s="1">
        <v>3</v>
      </c>
      <c r="H443" s="1">
        <v>20</v>
      </c>
      <c r="I443">
        <v>819</v>
      </c>
      <c r="J443" s="2">
        <v>9.0000000000000011E-2</v>
      </c>
      <c r="K443" s="1">
        <v>16380</v>
      </c>
      <c r="L443" s="1">
        <v>1474.2000000000003</v>
      </c>
      <c r="M443" s="1">
        <v>14905.8</v>
      </c>
      <c r="N443" s="1">
        <v>2457</v>
      </c>
      <c r="O443" s="1">
        <v>12448.8</v>
      </c>
      <c r="P443">
        <v>1</v>
      </c>
      <c r="Q443">
        <v>7</v>
      </c>
      <c r="R443">
        <v>2014</v>
      </c>
      <c r="S443" s="3">
        <v>41821</v>
      </c>
      <c r="T443" t="str">
        <f t="shared" si="6"/>
        <v>Mid Discount</v>
      </c>
    </row>
    <row r="444" spans="1:20" x14ac:dyDescent="0.25">
      <c r="A444" t="s">
        <v>323</v>
      </c>
      <c r="B444" t="s">
        <v>26</v>
      </c>
      <c r="C444" t="s">
        <v>27</v>
      </c>
      <c r="D444" t="s">
        <v>41</v>
      </c>
      <c r="E444" t="s">
        <v>42</v>
      </c>
      <c r="F444" t="s">
        <v>24</v>
      </c>
      <c r="G444" s="1">
        <v>3</v>
      </c>
      <c r="H444" s="1">
        <v>20</v>
      </c>
      <c r="I444">
        <v>1580</v>
      </c>
      <c r="J444" s="2">
        <v>9.0000000000000011E-2</v>
      </c>
      <c r="K444" s="1">
        <v>31600</v>
      </c>
      <c r="L444" s="1">
        <v>2844.0000000000005</v>
      </c>
      <c r="M444" s="1">
        <v>28756</v>
      </c>
      <c r="N444" s="1">
        <v>4740</v>
      </c>
      <c r="O444" s="1">
        <v>24016</v>
      </c>
      <c r="P444">
        <v>1</v>
      </c>
      <c r="Q444">
        <v>9</v>
      </c>
      <c r="R444">
        <v>2014</v>
      </c>
      <c r="S444" s="3">
        <v>41883</v>
      </c>
      <c r="T444" t="str">
        <f t="shared" si="6"/>
        <v>Mid Discount</v>
      </c>
    </row>
    <row r="445" spans="1:20" x14ac:dyDescent="0.25">
      <c r="A445" t="s">
        <v>283</v>
      </c>
      <c r="B445" t="s">
        <v>35</v>
      </c>
      <c r="C445" t="s">
        <v>36</v>
      </c>
      <c r="D445" t="s">
        <v>22</v>
      </c>
      <c r="E445" t="s">
        <v>23</v>
      </c>
      <c r="F445" t="s">
        <v>24</v>
      </c>
      <c r="G445" s="1">
        <v>3</v>
      </c>
      <c r="H445" s="1">
        <v>20</v>
      </c>
      <c r="I445">
        <v>521</v>
      </c>
      <c r="J445" s="2">
        <v>9.0000000000000011E-2</v>
      </c>
      <c r="K445" s="1">
        <v>10420</v>
      </c>
      <c r="L445" s="1">
        <v>937.80000000000007</v>
      </c>
      <c r="M445" s="1">
        <v>9482.2000000000007</v>
      </c>
      <c r="N445" s="1">
        <v>1563</v>
      </c>
      <c r="O445" s="1">
        <v>7919.2000000000007</v>
      </c>
      <c r="P445">
        <v>1</v>
      </c>
      <c r="Q445">
        <v>12</v>
      </c>
      <c r="R445">
        <v>2014</v>
      </c>
      <c r="S445" s="3">
        <v>41974</v>
      </c>
      <c r="T445" t="str">
        <f t="shared" si="6"/>
        <v>Mid Discount</v>
      </c>
    </row>
    <row r="446" spans="1:20" x14ac:dyDescent="0.25">
      <c r="A446" t="s">
        <v>260</v>
      </c>
      <c r="B446" t="s">
        <v>54</v>
      </c>
      <c r="C446" t="s">
        <v>55</v>
      </c>
      <c r="D446" t="s">
        <v>22</v>
      </c>
      <c r="E446" t="s">
        <v>23</v>
      </c>
      <c r="F446" t="s">
        <v>57</v>
      </c>
      <c r="G446" s="1">
        <v>10</v>
      </c>
      <c r="H446" s="1">
        <v>20</v>
      </c>
      <c r="I446">
        <v>973</v>
      </c>
      <c r="J446" s="2">
        <v>9.0000000000000011E-2</v>
      </c>
      <c r="K446" s="1">
        <v>19460</v>
      </c>
      <c r="L446" s="1">
        <v>1751.4000000000003</v>
      </c>
      <c r="M446" s="1">
        <v>17708.599999999999</v>
      </c>
      <c r="N446" s="1">
        <v>9730</v>
      </c>
      <c r="O446" s="1">
        <v>7978.5999999999985</v>
      </c>
      <c r="P446">
        <v>1</v>
      </c>
      <c r="Q446">
        <v>3</v>
      </c>
      <c r="R446">
        <v>2014</v>
      </c>
      <c r="S446" s="3">
        <v>41699</v>
      </c>
      <c r="T446" t="str">
        <f t="shared" si="6"/>
        <v>Mid Discount</v>
      </c>
    </row>
    <row r="447" spans="1:20" x14ac:dyDescent="0.25">
      <c r="A447" t="s">
        <v>241</v>
      </c>
      <c r="B447" t="s">
        <v>35</v>
      </c>
      <c r="C447" t="s">
        <v>36</v>
      </c>
      <c r="D447" t="s">
        <v>22</v>
      </c>
      <c r="E447" t="s">
        <v>23</v>
      </c>
      <c r="F447" t="s">
        <v>57</v>
      </c>
      <c r="G447" s="1">
        <v>10</v>
      </c>
      <c r="H447" s="1">
        <v>20</v>
      </c>
      <c r="I447">
        <v>1038</v>
      </c>
      <c r="J447" s="2">
        <v>9.0000000000000011E-2</v>
      </c>
      <c r="K447" s="1">
        <v>20760</v>
      </c>
      <c r="L447" s="1">
        <v>1868.4000000000003</v>
      </c>
      <c r="M447" s="1">
        <v>18891.599999999999</v>
      </c>
      <c r="N447" s="1">
        <v>10380</v>
      </c>
      <c r="O447" s="1">
        <v>8511.5999999999985</v>
      </c>
      <c r="P447">
        <v>1</v>
      </c>
      <c r="Q447">
        <v>6</v>
      </c>
      <c r="R447">
        <v>2014</v>
      </c>
      <c r="S447" s="3">
        <v>41791</v>
      </c>
      <c r="T447" t="str">
        <f t="shared" si="6"/>
        <v>Mid Discount</v>
      </c>
    </row>
    <row r="448" spans="1:20" x14ac:dyDescent="0.25">
      <c r="A448" t="s">
        <v>144</v>
      </c>
      <c r="B448" t="s">
        <v>26</v>
      </c>
      <c r="C448" t="s">
        <v>27</v>
      </c>
      <c r="D448" t="s">
        <v>22</v>
      </c>
      <c r="E448" t="s">
        <v>23</v>
      </c>
      <c r="F448" t="s">
        <v>57</v>
      </c>
      <c r="G448" s="1">
        <v>10</v>
      </c>
      <c r="H448" s="1">
        <v>20</v>
      </c>
      <c r="I448">
        <v>360</v>
      </c>
      <c r="J448" s="2">
        <v>9.0000000000000011E-2</v>
      </c>
      <c r="K448" s="1">
        <v>7200</v>
      </c>
      <c r="L448" s="1">
        <v>648.00000000000011</v>
      </c>
      <c r="M448" s="1">
        <v>6552</v>
      </c>
      <c r="N448" s="1">
        <v>3600</v>
      </c>
      <c r="O448" s="1">
        <v>2952</v>
      </c>
      <c r="P448">
        <v>1</v>
      </c>
      <c r="Q448">
        <v>10</v>
      </c>
      <c r="R448">
        <v>2014</v>
      </c>
      <c r="S448" s="3">
        <v>41913</v>
      </c>
      <c r="T448" t="str">
        <f t="shared" si="6"/>
        <v>Mid Discount</v>
      </c>
    </row>
    <row r="449" spans="1:20" x14ac:dyDescent="0.25">
      <c r="A449" t="s">
        <v>324</v>
      </c>
      <c r="B449" t="s">
        <v>29</v>
      </c>
      <c r="C449" t="s">
        <v>30</v>
      </c>
      <c r="D449" t="s">
        <v>41</v>
      </c>
      <c r="E449" t="s">
        <v>42</v>
      </c>
      <c r="F449" t="s">
        <v>71</v>
      </c>
      <c r="G449" s="1">
        <v>120</v>
      </c>
      <c r="H449" s="1">
        <v>180</v>
      </c>
      <c r="I449">
        <v>1967</v>
      </c>
      <c r="J449" s="2">
        <v>9.0000000000000011E-2</v>
      </c>
      <c r="K449" s="1">
        <v>354060</v>
      </c>
      <c r="L449" s="1">
        <v>31865.400000000005</v>
      </c>
      <c r="M449" s="1">
        <v>322194.59999999998</v>
      </c>
      <c r="N449" s="1">
        <v>236040</v>
      </c>
      <c r="O449" s="1">
        <v>86154.599999999977</v>
      </c>
      <c r="P449">
        <v>1</v>
      </c>
      <c r="Q449">
        <v>3</v>
      </c>
      <c r="R449">
        <v>2014</v>
      </c>
      <c r="S449" s="3">
        <v>41699</v>
      </c>
      <c r="T449" t="str">
        <f t="shared" si="6"/>
        <v>Mid Discount</v>
      </c>
    </row>
    <row r="450" spans="1:20" x14ac:dyDescent="0.25">
      <c r="A450" t="s">
        <v>325</v>
      </c>
      <c r="B450" t="s">
        <v>35</v>
      </c>
      <c r="C450" t="s">
        <v>36</v>
      </c>
      <c r="D450" t="s">
        <v>31</v>
      </c>
      <c r="E450" t="s">
        <v>32</v>
      </c>
      <c r="F450" t="s">
        <v>71</v>
      </c>
      <c r="G450" s="1">
        <v>120</v>
      </c>
      <c r="H450" s="1">
        <v>180</v>
      </c>
      <c r="I450">
        <v>2628</v>
      </c>
      <c r="J450" s="2">
        <v>9.0000000000000011E-2</v>
      </c>
      <c r="K450" s="1">
        <v>473040</v>
      </c>
      <c r="L450" s="1">
        <v>42573.600000000006</v>
      </c>
      <c r="M450" s="1">
        <v>430466.4</v>
      </c>
      <c r="N450" s="1">
        <v>315360</v>
      </c>
      <c r="O450" s="1">
        <v>115106.40000000002</v>
      </c>
      <c r="P450">
        <v>1</v>
      </c>
      <c r="Q450">
        <v>4</v>
      </c>
      <c r="R450">
        <v>2014</v>
      </c>
      <c r="S450" s="3">
        <v>41730</v>
      </c>
      <c r="T450" t="str">
        <f t="shared" ref="T450:T513" si="7">_xlfn.IFS(J450=0%,"No Discount",J450&lt;=3%,"Very Low Discount",J450&lt;=6%,"Low Discount",J450&lt;=9%,"Mid Discount",J450&lt;=12%,"High Discount",J450&lt;=15%,"Very High Discount")</f>
        <v>Mid Discount</v>
      </c>
    </row>
    <row r="451" spans="1:20" x14ac:dyDescent="0.25">
      <c r="A451" t="s">
        <v>144</v>
      </c>
      <c r="B451" t="s">
        <v>26</v>
      </c>
      <c r="C451" t="s">
        <v>27</v>
      </c>
      <c r="D451" t="s">
        <v>22</v>
      </c>
      <c r="E451" t="s">
        <v>23</v>
      </c>
      <c r="F451" t="s">
        <v>76</v>
      </c>
      <c r="G451" s="1">
        <v>250</v>
      </c>
      <c r="H451" s="1">
        <v>300</v>
      </c>
      <c r="I451">
        <v>360</v>
      </c>
      <c r="J451" s="2">
        <v>9.0000000000000011E-2</v>
      </c>
      <c r="K451" s="1">
        <v>108000</v>
      </c>
      <c r="L451" s="1">
        <v>9720.0000000000018</v>
      </c>
      <c r="M451" s="1">
        <v>98280</v>
      </c>
      <c r="N451" s="1">
        <v>90000</v>
      </c>
      <c r="O451" s="1">
        <v>8280</v>
      </c>
      <c r="P451">
        <v>1</v>
      </c>
      <c r="Q451">
        <v>10</v>
      </c>
      <c r="R451">
        <v>2014</v>
      </c>
      <c r="S451" s="3">
        <v>41913</v>
      </c>
      <c r="T451" t="str">
        <f t="shared" si="7"/>
        <v>Mid Discount</v>
      </c>
    </row>
    <row r="452" spans="1:20" x14ac:dyDescent="0.25">
      <c r="A452" t="s">
        <v>126</v>
      </c>
      <c r="B452" t="s">
        <v>29</v>
      </c>
      <c r="C452" t="s">
        <v>30</v>
      </c>
      <c r="D452" t="s">
        <v>22</v>
      </c>
      <c r="E452" t="s">
        <v>23</v>
      </c>
      <c r="F452" t="s">
        <v>76</v>
      </c>
      <c r="G452" s="1">
        <v>250</v>
      </c>
      <c r="H452" s="1">
        <v>300</v>
      </c>
      <c r="I452">
        <v>2682</v>
      </c>
      <c r="J452" s="2">
        <v>9.0000000000000011E-2</v>
      </c>
      <c r="K452" s="1">
        <v>804600</v>
      </c>
      <c r="L452" s="1">
        <v>72414.000000000015</v>
      </c>
      <c r="M452" s="1">
        <v>732186</v>
      </c>
      <c r="N452" s="1">
        <v>670500</v>
      </c>
      <c r="O452" s="1">
        <v>61686</v>
      </c>
      <c r="P452">
        <v>1</v>
      </c>
      <c r="Q452">
        <v>11</v>
      </c>
      <c r="R452">
        <v>2013</v>
      </c>
      <c r="S452" s="3">
        <v>41579</v>
      </c>
      <c r="T452" t="str">
        <f t="shared" si="7"/>
        <v>Mid Discount</v>
      </c>
    </row>
    <row r="453" spans="1:20" x14ac:dyDescent="0.25">
      <c r="A453" t="s">
        <v>283</v>
      </c>
      <c r="B453" t="s">
        <v>35</v>
      </c>
      <c r="C453" t="s">
        <v>36</v>
      </c>
      <c r="D453" t="s">
        <v>22</v>
      </c>
      <c r="E453" t="s">
        <v>23</v>
      </c>
      <c r="F453" t="s">
        <v>76</v>
      </c>
      <c r="G453" s="1">
        <v>250</v>
      </c>
      <c r="H453" s="1">
        <v>300</v>
      </c>
      <c r="I453">
        <v>521</v>
      </c>
      <c r="J453" s="2">
        <v>9.0000000000000011E-2</v>
      </c>
      <c r="K453" s="1">
        <v>156300</v>
      </c>
      <c r="L453" s="1">
        <v>14067.000000000002</v>
      </c>
      <c r="M453" s="1">
        <v>142233</v>
      </c>
      <c r="N453" s="1">
        <v>130250</v>
      </c>
      <c r="O453" s="1">
        <v>11983</v>
      </c>
      <c r="P453">
        <v>1</v>
      </c>
      <c r="Q453">
        <v>12</v>
      </c>
      <c r="R453">
        <v>2014</v>
      </c>
      <c r="S453" s="3">
        <v>41974</v>
      </c>
      <c r="T453" t="str">
        <f t="shared" si="7"/>
        <v>Mid Discount</v>
      </c>
    </row>
    <row r="454" spans="1:20" x14ac:dyDescent="0.25">
      <c r="A454" t="s">
        <v>241</v>
      </c>
      <c r="B454" t="s">
        <v>35</v>
      </c>
      <c r="C454" t="s">
        <v>36</v>
      </c>
      <c r="D454" t="s">
        <v>22</v>
      </c>
      <c r="E454" t="s">
        <v>23</v>
      </c>
      <c r="F454" t="s">
        <v>81</v>
      </c>
      <c r="G454" s="1">
        <v>200</v>
      </c>
      <c r="H454" s="1">
        <v>350</v>
      </c>
      <c r="I454">
        <v>1038</v>
      </c>
      <c r="J454" s="2">
        <v>9.0000000000000011E-2</v>
      </c>
      <c r="K454" s="1">
        <v>363300</v>
      </c>
      <c r="L454" s="1">
        <v>32697.000000000004</v>
      </c>
      <c r="M454" s="1">
        <v>330603</v>
      </c>
      <c r="N454" s="1">
        <v>207600</v>
      </c>
      <c r="O454" s="1">
        <v>123003</v>
      </c>
      <c r="P454">
        <v>1</v>
      </c>
      <c r="Q454">
        <v>6</v>
      </c>
      <c r="R454">
        <v>2014</v>
      </c>
      <c r="S454" s="3">
        <v>41791</v>
      </c>
      <c r="T454" t="str">
        <f t="shared" si="7"/>
        <v>Mid Discount</v>
      </c>
    </row>
    <row r="455" spans="1:20" x14ac:dyDescent="0.25">
      <c r="A455" t="s">
        <v>326</v>
      </c>
      <c r="B455" t="s">
        <v>20</v>
      </c>
      <c r="C455" t="s">
        <v>21</v>
      </c>
      <c r="D455" t="s">
        <v>31</v>
      </c>
      <c r="E455" t="s">
        <v>32</v>
      </c>
      <c r="F455" t="s">
        <v>81</v>
      </c>
      <c r="G455" s="1">
        <v>200</v>
      </c>
      <c r="H455" s="1">
        <v>350</v>
      </c>
      <c r="I455">
        <v>1630</v>
      </c>
      <c r="J455" s="2">
        <v>9.0027811860940693E-2</v>
      </c>
      <c r="K455" s="1">
        <v>570500</v>
      </c>
      <c r="L455" s="1">
        <v>51360.866666666669</v>
      </c>
      <c r="M455" s="1">
        <v>519139.1333333333</v>
      </c>
      <c r="N455" s="1">
        <v>326000</v>
      </c>
      <c r="O455" s="1">
        <v>193139.1333333333</v>
      </c>
      <c r="P455">
        <v>1</v>
      </c>
      <c r="Q455">
        <v>7</v>
      </c>
      <c r="R455">
        <v>2014</v>
      </c>
      <c r="S455" s="3">
        <v>41821</v>
      </c>
      <c r="T455" t="str">
        <f t="shared" si="7"/>
        <v>High Discount</v>
      </c>
    </row>
    <row r="456" spans="1:20" x14ac:dyDescent="0.25">
      <c r="A456" t="s">
        <v>327</v>
      </c>
      <c r="B456" t="s">
        <v>29</v>
      </c>
      <c r="C456" t="s">
        <v>30</v>
      </c>
      <c r="D456" t="s">
        <v>41</v>
      </c>
      <c r="E456" t="s">
        <v>42</v>
      </c>
      <c r="F456" t="s">
        <v>81</v>
      </c>
      <c r="G456" s="1">
        <v>200</v>
      </c>
      <c r="H456" s="1">
        <v>350</v>
      </c>
      <c r="I456">
        <v>306</v>
      </c>
      <c r="J456" s="2">
        <v>9.0000000000000011E-2</v>
      </c>
      <c r="K456" s="1">
        <v>107100</v>
      </c>
      <c r="L456" s="1">
        <v>9639.0000000000018</v>
      </c>
      <c r="M456" s="1">
        <v>97461</v>
      </c>
      <c r="N456" s="1">
        <v>61200</v>
      </c>
      <c r="O456" s="1">
        <v>36261</v>
      </c>
      <c r="P456">
        <v>1</v>
      </c>
      <c r="Q456">
        <v>12</v>
      </c>
      <c r="R456">
        <v>2013</v>
      </c>
      <c r="S456" s="3">
        <v>41609</v>
      </c>
      <c r="T456" t="str">
        <f t="shared" si="7"/>
        <v>Mid Discount</v>
      </c>
    </row>
    <row r="457" spans="1:20" x14ac:dyDescent="0.25">
      <c r="A457" t="s">
        <v>328</v>
      </c>
      <c r="B457" t="s">
        <v>54</v>
      </c>
      <c r="C457" t="s">
        <v>55</v>
      </c>
      <c r="D457" t="s">
        <v>41</v>
      </c>
      <c r="E457" t="s">
        <v>42</v>
      </c>
      <c r="F457" t="s">
        <v>24</v>
      </c>
      <c r="G457" s="1">
        <v>3</v>
      </c>
      <c r="H457" s="1">
        <v>20</v>
      </c>
      <c r="I457">
        <v>386</v>
      </c>
      <c r="J457" s="2">
        <v>9.9999999999999992E-2</v>
      </c>
      <c r="K457" s="1">
        <v>7720</v>
      </c>
      <c r="L457" s="1">
        <v>771.99999999999989</v>
      </c>
      <c r="M457" s="1">
        <v>6948</v>
      </c>
      <c r="N457" s="1">
        <v>1158</v>
      </c>
      <c r="O457" s="1">
        <v>5790</v>
      </c>
      <c r="P457">
        <v>1</v>
      </c>
      <c r="Q457">
        <v>10</v>
      </c>
      <c r="R457">
        <v>2013</v>
      </c>
      <c r="S457" s="3">
        <v>41548</v>
      </c>
      <c r="T457" t="str">
        <f t="shared" si="7"/>
        <v>High Discount</v>
      </c>
    </row>
    <row r="458" spans="1:20" x14ac:dyDescent="0.25">
      <c r="A458" t="s">
        <v>188</v>
      </c>
      <c r="B458" t="s">
        <v>54</v>
      </c>
      <c r="C458" t="s">
        <v>55</v>
      </c>
      <c r="D458" t="s">
        <v>22</v>
      </c>
      <c r="E458" t="s">
        <v>23</v>
      </c>
      <c r="F458" t="s">
        <v>39</v>
      </c>
      <c r="G458" s="1">
        <v>5</v>
      </c>
      <c r="H458" s="1">
        <v>15</v>
      </c>
      <c r="I458">
        <v>2328</v>
      </c>
      <c r="J458" s="2">
        <v>9.9999999999999992E-2</v>
      </c>
      <c r="K458" s="1">
        <v>34920</v>
      </c>
      <c r="L458" s="1">
        <v>3491.9999999999995</v>
      </c>
      <c r="M458" s="1">
        <v>31428</v>
      </c>
      <c r="N458" s="1">
        <v>11640</v>
      </c>
      <c r="O458" s="1">
        <v>19788</v>
      </c>
      <c r="P458">
        <v>1</v>
      </c>
      <c r="Q458">
        <v>9</v>
      </c>
      <c r="R458">
        <v>2014</v>
      </c>
      <c r="S458" s="3">
        <v>41883</v>
      </c>
      <c r="T458" t="str">
        <f t="shared" si="7"/>
        <v>High Discount</v>
      </c>
    </row>
    <row r="459" spans="1:20" x14ac:dyDescent="0.25">
      <c r="A459" t="s">
        <v>328</v>
      </c>
      <c r="B459" t="s">
        <v>54</v>
      </c>
      <c r="C459" t="s">
        <v>55</v>
      </c>
      <c r="D459" t="s">
        <v>41</v>
      </c>
      <c r="E459" t="s">
        <v>42</v>
      </c>
      <c r="F459" t="s">
        <v>57</v>
      </c>
      <c r="G459" s="1">
        <v>10</v>
      </c>
      <c r="H459" s="1">
        <v>20</v>
      </c>
      <c r="I459">
        <v>386</v>
      </c>
      <c r="J459" s="2">
        <v>9.9999999999999992E-2</v>
      </c>
      <c r="K459" s="1">
        <v>7720</v>
      </c>
      <c r="L459" s="1">
        <v>771.99999999999989</v>
      </c>
      <c r="M459" s="1">
        <v>6948</v>
      </c>
      <c r="N459" s="1">
        <v>3860</v>
      </c>
      <c r="O459" s="1">
        <v>3088</v>
      </c>
      <c r="P459">
        <v>1</v>
      </c>
      <c r="Q459">
        <v>10</v>
      </c>
      <c r="R459">
        <v>2013</v>
      </c>
      <c r="S459" s="3">
        <v>41548</v>
      </c>
      <c r="T459" t="str">
        <f t="shared" si="7"/>
        <v>High Discount</v>
      </c>
    </row>
    <row r="460" spans="1:20" x14ac:dyDescent="0.25">
      <c r="A460" t="s">
        <v>329</v>
      </c>
      <c r="B460" t="s">
        <v>54</v>
      </c>
      <c r="C460" t="s">
        <v>55</v>
      </c>
      <c r="D460" t="s">
        <v>46</v>
      </c>
      <c r="E460" t="s">
        <v>47</v>
      </c>
      <c r="F460" t="s">
        <v>24</v>
      </c>
      <c r="G460" s="1">
        <v>3</v>
      </c>
      <c r="H460" s="1">
        <v>20</v>
      </c>
      <c r="I460">
        <v>3445</v>
      </c>
      <c r="J460" s="2">
        <v>0.1000145137880987</v>
      </c>
      <c r="K460" s="1">
        <v>68900</v>
      </c>
      <c r="L460" s="1">
        <v>6891</v>
      </c>
      <c r="M460" s="1">
        <v>62009</v>
      </c>
      <c r="N460" s="1">
        <v>10335</v>
      </c>
      <c r="O460" s="1">
        <v>51674</v>
      </c>
      <c r="P460">
        <v>1</v>
      </c>
      <c r="Q460">
        <v>4</v>
      </c>
      <c r="R460">
        <v>2014</v>
      </c>
      <c r="S460" s="3">
        <v>41730</v>
      </c>
      <c r="T460" t="str">
        <f t="shared" si="7"/>
        <v>High Discount</v>
      </c>
    </row>
    <row r="461" spans="1:20" x14ac:dyDescent="0.25">
      <c r="A461" t="s">
        <v>330</v>
      </c>
      <c r="B461" t="s">
        <v>29</v>
      </c>
      <c r="C461" t="s">
        <v>30</v>
      </c>
      <c r="D461" t="s">
        <v>46</v>
      </c>
      <c r="E461" t="s">
        <v>47</v>
      </c>
      <c r="F461" t="s">
        <v>24</v>
      </c>
      <c r="G461" s="1">
        <v>3</v>
      </c>
      <c r="H461" s="1">
        <v>20</v>
      </c>
      <c r="I461">
        <v>1482</v>
      </c>
      <c r="J461" s="2">
        <v>0.1</v>
      </c>
      <c r="K461" s="1">
        <v>29640</v>
      </c>
      <c r="L461" s="1">
        <v>2964</v>
      </c>
      <c r="M461" s="1">
        <v>26676</v>
      </c>
      <c r="N461" s="1">
        <v>4446</v>
      </c>
      <c r="O461" s="1">
        <v>22230</v>
      </c>
      <c r="P461">
        <v>1</v>
      </c>
      <c r="Q461">
        <v>12</v>
      </c>
      <c r="R461">
        <v>2013</v>
      </c>
      <c r="S461" s="3">
        <v>41609</v>
      </c>
      <c r="T461" t="str">
        <f t="shared" si="7"/>
        <v>High Discount</v>
      </c>
    </row>
    <row r="462" spans="1:20" x14ac:dyDescent="0.25">
      <c r="A462" t="s">
        <v>212</v>
      </c>
      <c r="B462" t="s">
        <v>54</v>
      </c>
      <c r="C462" t="s">
        <v>55</v>
      </c>
      <c r="D462" t="s">
        <v>22</v>
      </c>
      <c r="E462" t="s">
        <v>23</v>
      </c>
      <c r="F462" t="s">
        <v>39</v>
      </c>
      <c r="G462" s="1">
        <v>5</v>
      </c>
      <c r="H462" s="1">
        <v>15</v>
      </c>
      <c r="I462">
        <v>2313</v>
      </c>
      <c r="J462" s="2">
        <v>0.1</v>
      </c>
      <c r="K462" s="1">
        <v>34695</v>
      </c>
      <c r="L462" s="1">
        <v>3469.5</v>
      </c>
      <c r="M462" s="1">
        <v>31225.5</v>
      </c>
      <c r="N462" s="1">
        <v>11565</v>
      </c>
      <c r="O462" s="1">
        <v>19660.5</v>
      </c>
      <c r="P462">
        <v>1</v>
      </c>
      <c r="Q462">
        <v>5</v>
      </c>
      <c r="R462">
        <v>2014</v>
      </c>
      <c r="S462" s="3">
        <v>41760</v>
      </c>
      <c r="T462" t="str">
        <f t="shared" si="7"/>
        <v>High Discount</v>
      </c>
    </row>
    <row r="463" spans="1:20" x14ac:dyDescent="0.25">
      <c r="A463" t="s">
        <v>331</v>
      </c>
      <c r="B463" t="s">
        <v>54</v>
      </c>
      <c r="C463" t="s">
        <v>55</v>
      </c>
      <c r="D463" t="s">
        <v>46</v>
      </c>
      <c r="E463" t="s">
        <v>47</v>
      </c>
      <c r="F463" t="s">
        <v>39</v>
      </c>
      <c r="G463" s="1">
        <v>5</v>
      </c>
      <c r="H463" s="1">
        <v>15</v>
      </c>
      <c r="I463">
        <v>1804</v>
      </c>
      <c r="J463" s="2">
        <v>0.1</v>
      </c>
      <c r="K463" s="1">
        <v>27060</v>
      </c>
      <c r="L463" s="1">
        <v>2706</v>
      </c>
      <c r="M463" s="1">
        <v>24354</v>
      </c>
      <c r="N463" s="1">
        <v>9020</v>
      </c>
      <c r="O463" s="1">
        <v>15334</v>
      </c>
      <c r="P463">
        <v>1</v>
      </c>
      <c r="Q463">
        <v>11</v>
      </c>
      <c r="R463">
        <v>2013</v>
      </c>
      <c r="S463" s="3">
        <v>41579</v>
      </c>
      <c r="T463" t="str">
        <f t="shared" si="7"/>
        <v>High Discount</v>
      </c>
    </row>
    <row r="464" spans="1:20" x14ac:dyDescent="0.25">
      <c r="A464" t="s">
        <v>332</v>
      </c>
      <c r="B464" t="s">
        <v>29</v>
      </c>
      <c r="C464" t="s">
        <v>30</v>
      </c>
      <c r="D464" t="s">
        <v>31</v>
      </c>
      <c r="E464" t="s">
        <v>32</v>
      </c>
      <c r="F464" t="s">
        <v>39</v>
      </c>
      <c r="G464" s="1">
        <v>5</v>
      </c>
      <c r="H464" s="1">
        <v>15</v>
      </c>
      <c r="I464">
        <v>2072</v>
      </c>
      <c r="J464" s="2">
        <v>0.1</v>
      </c>
      <c r="K464" s="1">
        <v>31080</v>
      </c>
      <c r="L464" s="1">
        <v>3108</v>
      </c>
      <c r="M464" s="1">
        <v>27972</v>
      </c>
      <c r="N464" s="1">
        <v>10360</v>
      </c>
      <c r="O464" s="1">
        <v>17612</v>
      </c>
      <c r="P464">
        <v>1</v>
      </c>
      <c r="Q464">
        <v>12</v>
      </c>
      <c r="R464">
        <v>2014</v>
      </c>
      <c r="S464" s="3">
        <v>41974</v>
      </c>
      <c r="T464" t="str">
        <f t="shared" si="7"/>
        <v>High Discount</v>
      </c>
    </row>
    <row r="465" spans="1:20" x14ac:dyDescent="0.25">
      <c r="A465" t="s">
        <v>333</v>
      </c>
      <c r="B465" t="s">
        <v>29</v>
      </c>
      <c r="C465" t="s">
        <v>30</v>
      </c>
      <c r="D465" t="s">
        <v>22</v>
      </c>
      <c r="E465" t="s">
        <v>23</v>
      </c>
      <c r="F465" t="s">
        <v>57</v>
      </c>
      <c r="G465" s="1">
        <v>10</v>
      </c>
      <c r="H465" s="1">
        <v>20</v>
      </c>
      <c r="I465">
        <v>1954</v>
      </c>
      <c r="J465" s="2">
        <v>0.1</v>
      </c>
      <c r="K465" s="1">
        <v>39080</v>
      </c>
      <c r="L465" s="1">
        <v>3908</v>
      </c>
      <c r="M465" s="1">
        <v>35172</v>
      </c>
      <c r="N465" s="1">
        <v>19540</v>
      </c>
      <c r="O465" s="1">
        <v>15632</v>
      </c>
      <c r="P465">
        <v>1</v>
      </c>
      <c r="Q465">
        <v>3</v>
      </c>
      <c r="R465">
        <v>2014</v>
      </c>
      <c r="S465" s="3">
        <v>41699</v>
      </c>
      <c r="T465" t="str">
        <f t="shared" si="7"/>
        <v>High Discount</v>
      </c>
    </row>
    <row r="466" spans="1:20" x14ac:dyDescent="0.25">
      <c r="A466" t="s">
        <v>334</v>
      </c>
      <c r="B466" t="s">
        <v>35</v>
      </c>
      <c r="C466" t="s">
        <v>36</v>
      </c>
      <c r="D466" t="s">
        <v>49</v>
      </c>
      <c r="E466" t="s">
        <v>50</v>
      </c>
      <c r="F466" t="s">
        <v>57</v>
      </c>
      <c r="G466" s="1">
        <v>10</v>
      </c>
      <c r="H466" s="1">
        <v>20</v>
      </c>
      <c r="I466">
        <v>591</v>
      </c>
      <c r="J466" s="2">
        <v>0.1</v>
      </c>
      <c r="K466" s="1">
        <v>11820</v>
      </c>
      <c r="L466" s="1">
        <v>1182</v>
      </c>
      <c r="M466" s="1">
        <v>10638</v>
      </c>
      <c r="N466" s="1">
        <v>5910</v>
      </c>
      <c r="O466" s="1">
        <v>4728</v>
      </c>
      <c r="P466">
        <v>1</v>
      </c>
      <c r="Q466">
        <v>5</v>
      </c>
      <c r="R466">
        <v>2014</v>
      </c>
      <c r="S466" s="3">
        <v>41760</v>
      </c>
      <c r="T466" t="str">
        <f t="shared" si="7"/>
        <v>High Discount</v>
      </c>
    </row>
    <row r="467" spans="1:20" x14ac:dyDescent="0.25">
      <c r="A467" t="s">
        <v>335</v>
      </c>
      <c r="B467" t="s">
        <v>29</v>
      </c>
      <c r="C467" t="s">
        <v>30</v>
      </c>
      <c r="D467" t="s">
        <v>31</v>
      </c>
      <c r="E467" t="s">
        <v>32</v>
      </c>
      <c r="F467" t="s">
        <v>57</v>
      </c>
      <c r="G467" s="1">
        <v>10</v>
      </c>
      <c r="H467" s="1">
        <v>20</v>
      </c>
      <c r="I467">
        <v>2167</v>
      </c>
      <c r="J467" s="2">
        <v>0.1</v>
      </c>
      <c r="K467" s="1">
        <v>43340</v>
      </c>
      <c r="L467" s="1">
        <v>4334</v>
      </c>
      <c r="M467" s="1">
        <v>39006</v>
      </c>
      <c r="N467" s="1">
        <v>21670</v>
      </c>
      <c r="O467" s="1">
        <v>17336</v>
      </c>
      <c r="P467">
        <v>1</v>
      </c>
      <c r="Q467">
        <v>10</v>
      </c>
      <c r="R467">
        <v>2013</v>
      </c>
      <c r="S467" s="3">
        <v>41548</v>
      </c>
      <c r="T467" t="str">
        <f t="shared" si="7"/>
        <v>High Discount</v>
      </c>
    </row>
    <row r="468" spans="1:20" x14ac:dyDescent="0.25">
      <c r="A468" t="s">
        <v>144</v>
      </c>
      <c r="B468" t="s">
        <v>26</v>
      </c>
      <c r="C468" t="s">
        <v>27</v>
      </c>
      <c r="D468" t="s">
        <v>22</v>
      </c>
      <c r="E468" t="s">
        <v>23</v>
      </c>
      <c r="F468" t="s">
        <v>57</v>
      </c>
      <c r="G468" s="1">
        <v>10</v>
      </c>
      <c r="H468" s="1">
        <v>20</v>
      </c>
      <c r="I468">
        <v>241</v>
      </c>
      <c r="J468" s="2">
        <v>0.1</v>
      </c>
      <c r="K468" s="1">
        <v>4820</v>
      </c>
      <c r="L468" s="1">
        <v>482</v>
      </c>
      <c r="M468" s="1">
        <v>4338</v>
      </c>
      <c r="N468" s="1">
        <v>2410</v>
      </c>
      <c r="O468" s="1">
        <v>1928</v>
      </c>
      <c r="P468">
        <v>1</v>
      </c>
      <c r="Q468">
        <v>10</v>
      </c>
      <c r="R468">
        <v>2014</v>
      </c>
      <c r="S468" s="3">
        <v>41913</v>
      </c>
      <c r="T468" t="str">
        <f t="shared" si="7"/>
        <v>High Discount</v>
      </c>
    </row>
    <row r="469" spans="1:20" x14ac:dyDescent="0.25">
      <c r="A469" t="s">
        <v>336</v>
      </c>
      <c r="B469" t="s">
        <v>26</v>
      </c>
      <c r="C469" t="s">
        <v>27</v>
      </c>
      <c r="D469" t="s">
        <v>31</v>
      </c>
      <c r="E469" t="s">
        <v>32</v>
      </c>
      <c r="F469" t="s">
        <v>71</v>
      </c>
      <c r="G469" s="1">
        <v>120</v>
      </c>
      <c r="H469" s="1">
        <v>180</v>
      </c>
      <c r="I469">
        <v>681</v>
      </c>
      <c r="J469" s="2">
        <v>0.1</v>
      </c>
      <c r="K469" s="1">
        <v>122580</v>
      </c>
      <c r="L469" s="1">
        <v>12258</v>
      </c>
      <c r="M469" s="1">
        <v>110322</v>
      </c>
      <c r="N469" s="1">
        <v>81720</v>
      </c>
      <c r="O469" s="1">
        <v>28602</v>
      </c>
      <c r="P469">
        <v>1</v>
      </c>
      <c r="Q469">
        <v>1</v>
      </c>
      <c r="R469">
        <v>2014</v>
      </c>
      <c r="S469" s="3">
        <v>41640</v>
      </c>
      <c r="T469" t="str">
        <f t="shared" si="7"/>
        <v>High Discount</v>
      </c>
    </row>
    <row r="470" spans="1:20" x14ac:dyDescent="0.25">
      <c r="A470" t="s">
        <v>337</v>
      </c>
      <c r="B470" t="s">
        <v>26</v>
      </c>
      <c r="C470" t="s">
        <v>27</v>
      </c>
      <c r="D470" t="s">
        <v>31</v>
      </c>
      <c r="E470" t="s">
        <v>32</v>
      </c>
      <c r="F470" t="s">
        <v>71</v>
      </c>
      <c r="G470" s="1">
        <v>120</v>
      </c>
      <c r="H470" s="1">
        <v>180</v>
      </c>
      <c r="I470">
        <v>510</v>
      </c>
      <c r="J470" s="2">
        <v>0.1</v>
      </c>
      <c r="K470" s="1">
        <v>91800</v>
      </c>
      <c r="L470" s="1">
        <v>9180</v>
      </c>
      <c r="M470" s="1">
        <v>82620</v>
      </c>
      <c r="N470" s="1">
        <v>61200</v>
      </c>
      <c r="O470" s="1">
        <v>21420</v>
      </c>
      <c r="P470">
        <v>1</v>
      </c>
      <c r="Q470">
        <v>4</v>
      </c>
      <c r="R470">
        <v>2014</v>
      </c>
      <c r="S470" s="3">
        <v>41730</v>
      </c>
      <c r="T470" t="str">
        <f t="shared" si="7"/>
        <v>High Discount</v>
      </c>
    </row>
    <row r="471" spans="1:20" x14ac:dyDescent="0.25">
      <c r="A471" t="s">
        <v>338</v>
      </c>
      <c r="B471" t="s">
        <v>54</v>
      </c>
      <c r="C471" t="s">
        <v>55</v>
      </c>
      <c r="D471" t="s">
        <v>31</v>
      </c>
      <c r="E471" t="s">
        <v>32</v>
      </c>
      <c r="F471" t="s">
        <v>71</v>
      </c>
      <c r="G471" s="1">
        <v>120</v>
      </c>
      <c r="H471" s="1">
        <v>180</v>
      </c>
      <c r="I471">
        <v>790</v>
      </c>
      <c r="J471" s="2">
        <v>0.1</v>
      </c>
      <c r="K471" s="1">
        <v>142200</v>
      </c>
      <c r="L471" s="1">
        <v>14220</v>
      </c>
      <c r="M471" s="1">
        <v>127980</v>
      </c>
      <c r="N471" s="1">
        <v>94800</v>
      </c>
      <c r="O471" s="1">
        <v>33180</v>
      </c>
      <c r="P471">
        <v>1</v>
      </c>
      <c r="Q471">
        <v>5</v>
      </c>
      <c r="R471">
        <v>2014</v>
      </c>
      <c r="S471" s="3">
        <v>41760</v>
      </c>
      <c r="T471" t="str">
        <f t="shared" si="7"/>
        <v>High Discount</v>
      </c>
    </row>
    <row r="472" spans="1:20" x14ac:dyDescent="0.25">
      <c r="A472" t="s">
        <v>103</v>
      </c>
      <c r="B472" t="s">
        <v>29</v>
      </c>
      <c r="C472" t="s">
        <v>30</v>
      </c>
      <c r="D472" t="s">
        <v>22</v>
      </c>
      <c r="E472" t="s">
        <v>23</v>
      </c>
      <c r="F472" t="s">
        <v>71</v>
      </c>
      <c r="G472" s="1">
        <v>120</v>
      </c>
      <c r="H472" s="1">
        <v>180</v>
      </c>
      <c r="I472">
        <v>639</v>
      </c>
      <c r="J472" s="2">
        <v>0.1</v>
      </c>
      <c r="K472" s="1">
        <v>115020</v>
      </c>
      <c r="L472" s="1">
        <v>11502</v>
      </c>
      <c r="M472" s="1">
        <v>103518</v>
      </c>
      <c r="N472" s="1">
        <v>76680</v>
      </c>
      <c r="O472" s="1">
        <v>26838</v>
      </c>
      <c r="P472">
        <v>1</v>
      </c>
      <c r="Q472">
        <v>7</v>
      </c>
      <c r="R472">
        <v>2014</v>
      </c>
      <c r="S472" s="3">
        <v>41821</v>
      </c>
      <c r="T472" t="str">
        <f t="shared" si="7"/>
        <v>High Discount</v>
      </c>
    </row>
    <row r="473" spans="1:20" x14ac:dyDescent="0.25">
      <c r="A473" t="s">
        <v>339</v>
      </c>
      <c r="B473" t="s">
        <v>54</v>
      </c>
      <c r="C473" t="s">
        <v>55</v>
      </c>
      <c r="D473" t="s">
        <v>46</v>
      </c>
      <c r="E473" t="s">
        <v>47</v>
      </c>
      <c r="F473" t="s">
        <v>71</v>
      </c>
      <c r="G473" s="1">
        <v>120</v>
      </c>
      <c r="H473" s="1">
        <v>180</v>
      </c>
      <c r="I473">
        <v>1596</v>
      </c>
      <c r="J473" s="2">
        <v>0.1</v>
      </c>
      <c r="K473" s="1">
        <v>287280</v>
      </c>
      <c r="L473" s="1">
        <v>28728</v>
      </c>
      <c r="M473" s="1">
        <v>258552</v>
      </c>
      <c r="N473" s="1">
        <v>191520</v>
      </c>
      <c r="O473" s="1">
        <v>67032</v>
      </c>
      <c r="P473">
        <v>1</v>
      </c>
      <c r="Q473">
        <v>9</v>
      </c>
      <c r="R473">
        <v>2014</v>
      </c>
      <c r="S473" s="3">
        <v>41883</v>
      </c>
      <c r="T473" t="str">
        <f t="shared" si="7"/>
        <v>High Discount</v>
      </c>
    </row>
    <row r="474" spans="1:20" x14ac:dyDescent="0.25">
      <c r="A474" t="s">
        <v>340</v>
      </c>
      <c r="B474" t="s">
        <v>54</v>
      </c>
      <c r="C474" t="s">
        <v>55</v>
      </c>
      <c r="D474" t="s">
        <v>49</v>
      </c>
      <c r="E474" t="s">
        <v>50</v>
      </c>
      <c r="F474" t="s">
        <v>71</v>
      </c>
      <c r="G474" s="1">
        <v>120</v>
      </c>
      <c r="H474" s="1">
        <v>180</v>
      </c>
      <c r="I474">
        <v>2294</v>
      </c>
      <c r="J474" s="2">
        <v>0.1</v>
      </c>
      <c r="K474" s="1">
        <v>412920</v>
      </c>
      <c r="L474" s="1">
        <v>41292</v>
      </c>
      <c r="M474" s="1">
        <v>371628</v>
      </c>
      <c r="N474" s="1">
        <v>275280</v>
      </c>
      <c r="O474" s="1">
        <v>96348</v>
      </c>
      <c r="P474">
        <v>1</v>
      </c>
      <c r="Q474">
        <v>10</v>
      </c>
      <c r="R474">
        <v>2013</v>
      </c>
      <c r="S474" s="3">
        <v>41548</v>
      </c>
      <c r="T474" t="str">
        <f t="shared" si="7"/>
        <v>High Discount</v>
      </c>
    </row>
    <row r="475" spans="1:20" x14ac:dyDescent="0.25">
      <c r="A475" t="s">
        <v>144</v>
      </c>
      <c r="B475" t="s">
        <v>26</v>
      </c>
      <c r="C475" t="s">
        <v>27</v>
      </c>
      <c r="D475" t="s">
        <v>22</v>
      </c>
      <c r="E475" t="s">
        <v>23</v>
      </c>
      <c r="F475" t="s">
        <v>71</v>
      </c>
      <c r="G475" s="1">
        <v>120</v>
      </c>
      <c r="H475" s="1">
        <v>180</v>
      </c>
      <c r="I475">
        <v>241</v>
      </c>
      <c r="J475" s="2">
        <v>0.1</v>
      </c>
      <c r="K475" s="1">
        <v>43380</v>
      </c>
      <c r="L475" s="1">
        <v>4338</v>
      </c>
      <c r="M475" s="1">
        <v>39042</v>
      </c>
      <c r="N475" s="1">
        <v>28920</v>
      </c>
      <c r="O475" s="1">
        <v>10122</v>
      </c>
      <c r="P475">
        <v>1</v>
      </c>
      <c r="Q475">
        <v>10</v>
      </c>
      <c r="R475">
        <v>2014</v>
      </c>
      <c r="S475" s="3">
        <v>41913</v>
      </c>
      <c r="T475" t="str">
        <f t="shared" si="7"/>
        <v>High Discount</v>
      </c>
    </row>
    <row r="476" spans="1:20" x14ac:dyDescent="0.25">
      <c r="A476" t="s">
        <v>295</v>
      </c>
      <c r="B476" t="s">
        <v>26</v>
      </c>
      <c r="C476" t="s">
        <v>27</v>
      </c>
      <c r="D476" t="s">
        <v>22</v>
      </c>
      <c r="E476" t="s">
        <v>23</v>
      </c>
      <c r="F476" t="s">
        <v>71</v>
      </c>
      <c r="G476" s="1">
        <v>120</v>
      </c>
      <c r="H476" s="1">
        <v>180</v>
      </c>
      <c r="I476">
        <v>2665</v>
      </c>
      <c r="J476" s="2">
        <v>0.1</v>
      </c>
      <c r="K476" s="1">
        <v>479700</v>
      </c>
      <c r="L476" s="1">
        <v>47970</v>
      </c>
      <c r="M476" s="1">
        <v>431730</v>
      </c>
      <c r="N476" s="1">
        <v>319800</v>
      </c>
      <c r="O476" s="1">
        <v>111930</v>
      </c>
      <c r="P476">
        <v>1</v>
      </c>
      <c r="Q476">
        <v>11</v>
      </c>
      <c r="R476">
        <v>2014</v>
      </c>
      <c r="S476" s="3">
        <v>41944</v>
      </c>
      <c r="T476" t="str">
        <f t="shared" si="7"/>
        <v>High Discount</v>
      </c>
    </row>
    <row r="477" spans="1:20" x14ac:dyDescent="0.25">
      <c r="A477" t="s">
        <v>341</v>
      </c>
      <c r="B477" t="s">
        <v>20</v>
      </c>
      <c r="C477" t="s">
        <v>21</v>
      </c>
      <c r="D477" t="s">
        <v>46</v>
      </c>
      <c r="E477" t="s">
        <v>47</v>
      </c>
      <c r="F477" t="s">
        <v>71</v>
      </c>
      <c r="G477" s="1">
        <v>120</v>
      </c>
      <c r="H477" s="1">
        <v>180</v>
      </c>
      <c r="I477">
        <v>1916</v>
      </c>
      <c r="J477" s="2">
        <v>0.1</v>
      </c>
      <c r="K477" s="1">
        <v>344880</v>
      </c>
      <c r="L477" s="1">
        <v>34488</v>
      </c>
      <c r="M477" s="1">
        <v>310392</v>
      </c>
      <c r="N477" s="1">
        <v>229920</v>
      </c>
      <c r="O477" s="1">
        <v>80472</v>
      </c>
      <c r="P477">
        <v>1</v>
      </c>
      <c r="Q477">
        <v>12</v>
      </c>
      <c r="R477">
        <v>2013</v>
      </c>
      <c r="S477" s="3">
        <v>41609</v>
      </c>
      <c r="T477" t="str">
        <f t="shared" si="7"/>
        <v>High Discount</v>
      </c>
    </row>
    <row r="478" spans="1:20" x14ac:dyDescent="0.25">
      <c r="A478" t="s">
        <v>342</v>
      </c>
      <c r="B478" t="s">
        <v>29</v>
      </c>
      <c r="C478" t="s">
        <v>30</v>
      </c>
      <c r="D478" t="s">
        <v>49</v>
      </c>
      <c r="E478" t="s">
        <v>50</v>
      </c>
      <c r="F478" t="s">
        <v>71</v>
      </c>
      <c r="G478" s="1">
        <v>120</v>
      </c>
      <c r="H478" s="1">
        <v>180</v>
      </c>
      <c r="I478">
        <v>853</v>
      </c>
      <c r="J478" s="2">
        <v>0.1</v>
      </c>
      <c r="K478" s="1">
        <v>153540</v>
      </c>
      <c r="L478" s="1">
        <v>15354</v>
      </c>
      <c r="M478" s="1">
        <v>138186</v>
      </c>
      <c r="N478" s="1">
        <v>102360</v>
      </c>
      <c r="O478" s="1">
        <v>35826</v>
      </c>
      <c r="P478">
        <v>1</v>
      </c>
      <c r="Q478">
        <v>12</v>
      </c>
      <c r="R478">
        <v>2014</v>
      </c>
      <c r="S478" s="3">
        <v>41974</v>
      </c>
      <c r="T478" t="str">
        <f t="shared" si="7"/>
        <v>High Discount</v>
      </c>
    </row>
    <row r="479" spans="1:20" x14ac:dyDescent="0.25">
      <c r="A479" t="s">
        <v>343</v>
      </c>
      <c r="B479" t="s">
        <v>35</v>
      </c>
      <c r="C479" t="s">
        <v>36</v>
      </c>
      <c r="D479" t="s">
        <v>46</v>
      </c>
      <c r="E479" t="s">
        <v>47</v>
      </c>
      <c r="F479" t="s">
        <v>76</v>
      </c>
      <c r="G479" s="1">
        <v>250</v>
      </c>
      <c r="H479" s="1">
        <v>300</v>
      </c>
      <c r="I479">
        <v>341</v>
      </c>
      <c r="J479" s="2">
        <v>0.1</v>
      </c>
      <c r="K479" s="1">
        <v>102300</v>
      </c>
      <c r="L479" s="1">
        <v>10230</v>
      </c>
      <c r="M479" s="1">
        <v>92070</v>
      </c>
      <c r="N479" s="1">
        <v>85250</v>
      </c>
      <c r="O479" s="1">
        <v>6820</v>
      </c>
      <c r="P479">
        <v>1</v>
      </c>
      <c r="Q479">
        <v>5</v>
      </c>
      <c r="R479">
        <v>2014</v>
      </c>
      <c r="S479" s="3">
        <v>41760</v>
      </c>
      <c r="T479" t="str">
        <f t="shared" si="7"/>
        <v>High Discount</v>
      </c>
    </row>
    <row r="480" spans="1:20" x14ac:dyDescent="0.25">
      <c r="A480" t="s">
        <v>344</v>
      </c>
      <c r="B480" t="s">
        <v>35</v>
      </c>
      <c r="C480" t="s">
        <v>36</v>
      </c>
      <c r="D480" t="s">
        <v>31</v>
      </c>
      <c r="E480" t="s">
        <v>32</v>
      </c>
      <c r="F480" t="s">
        <v>76</v>
      </c>
      <c r="G480" s="1">
        <v>250</v>
      </c>
      <c r="H480" s="1">
        <v>300</v>
      </c>
      <c r="I480">
        <v>641</v>
      </c>
      <c r="J480" s="2">
        <v>0.1</v>
      </c>
      <c r="K480" s="1">
        <v>192300</v>
      </c>
      <c r="L480" s="1">
        <v>19230</v>
      </c>
      <c r="M480" s="1">
        <v>173070</v>
      </c>
      <c r="N480" s="1">
        <v>160250</v>
      </c>
      <c r="O480" s="1">
        <v>12820</v>
      </c>
      <c r="P480">
        <v>1</v>
      </c>
      <c r="Q480">
        <v>7</v>
      </c>
      <c r="R480">
        <v>2014</v>
      </c>
      <c r="S480" s="3">
        <v>41821</v>
      </c>
      <c r="T480" t="str">
        <f t="shared" si="7"/>
        <v>High Discount</v>
      </c>
    </row>
    <row r="481" spans="1:20" x14ac:dyDescent="0.25">
      <c r="A481" t="s">
        <v>222</v>
      </c>
      <c r="B481" t="s">
        <v>54</v>
      </c>
      <c r="C481" t="s">
        <v>55</v>
      </c>
      <c r="D481" t="s">
        <v>22</v>
      </c>
      <c r="E481" t="s">
        <v>23</v>
      </c>
      <c r="F481" t="s">
        <v>76</v>
      </c>
      <c r="G481" s="1">
        <v>250</v>
      </c>
      <c r="H481" s="1">
        <v>300</v>
      </c>
      <c r="I481">
        <v>2807</v>
      </c>
      <c r="J481" s="2">
        <v>0.1</v>
      </c>
      <c r="K481" s="1">
        <v>842100</v>
      </c>
      <c r="L481" s="1">
        <v>84210</v>
      </c>
      <c r="M481" s="1">
        <v>757890</v>
      </c>
      <c r="N481" s="1">
        <v>701750</v>
      </c>
      <c r="O481" s="1">
        <v>56140</v>
      </c>
      <c r="P481">
        <v>1</v>
      </c>
      <c r="Q481">
        <v>8</v>
      </c>
      <c r="R481">
        <v>2014</v>
      </c>
      <c r="S481" s="3">
        <v>41852</v>
      </c>
      <c r="T481" t="str">
        <f t="shared" si="7"/>
        <v>High Discount</v>
      </c>
    </row>
    <row r="482" spans="1:20" x14ac:dyDescent="0.25">
      <c r="A482" t="s">
        <v>345</v>
      </c>
      <c r="B482" t="s">
        <v>35</v>
      </c>
      <c r="C482" t="s">
        <v>36</v>
      </c>
      <c r="D482" t="s">
        <v>49</v>
      </c>
      <c r="E482" t="s">
        <v>50</v>
      </c>
      <c r="F482" t="s">
        <v>76</v>
      </c>
      <c r="G482" s="1">
        <v>250</v>
      </c>
      <c r="H482" s="1">
        <v>300</v>
      </c>
      <c r="I482">
        <v>432</v>
      </c>
      <c r="J482" s="2">
        <v>0.1</v>
      </c>
      <c r="K482" s="1">
        <v>129600</v>
      </c>
      <c r="L482" s="1">
        <v>12960</v>
      </c>
      <c r="M482" s="1">
        <v>116640</v>
      </c>
      <c r="N482" s="1">
        <v>108000</v>
      </c>
      <c r="O482" s="1">
        <v>8640</v>
      </c>
      <c r="P482">
        <v>1</v>
      </c>
      <c r="Q482">
        <v>9</v>
      </c>
      <c r="R482">
        <v>2014</v>
      </c>
      <c r="S482" s="3">
        <v>41883</v>
      </c>
      <c r="T482" t="str">
        <f t="shared" si="7"/>
        <v>High Discount</v>
      </c>
    </row>
    <row r="483" spans="1:20" x14ac:dyDescent="0.25">
      <c r="A483" t="s">
        <v>340</v>
      </c>
      <c r="B483" t="s">
        <v>54</v>
      </c>
      <c r="C483" t="s">
        <v>55</v>
      </c>
      <c r="D483" t="s">
        <v>49</v>
      </c>
      <c r="E483" t="s">
        <v>50</v>
      </c>
      <c r="F483" t="s">
        <v>76</v>
      </c>
      <c r="G483" s="1">
        <v>250</v>
      </c>
      <c r="H483" s="1">
        <v>300</v>
      </c>
      <c r="I483">
        <v>2294</v>
      </c>
      <c r="J483" s="2">
        <v>0.1</v>
      </c>
      <c r="K483" s="1">
        <v>688200</v>
      </c>
      <c r="L483" s="1">
        <v>68820</v>
      </c>
      <c r="M483" s="1">
        <v>619380</v>
      </c>
      <c r="N483" s="1">
        <v>573500</v>
      </c>
      <c r="O483" s="1">
        <v>45880</v>
      </c>
      <c r="P483">
        <v>1</v>
      </c>
      <c r="Q483">
        <v>10</v>
      </c>
      <c r="R483">
        <v>2013</v>
      </c>
      <c r="S483" s="3">
        <v>41548</v>
      </c>
      <c r="T483" t="str">
        <f t="shared" si="7"/>
        <v>High Discount</v>
      </c>
    </row>
    <row r="484" spans="1:20" x14ac:dyDescent="0.25">
      <c r="A484" t="s">
        <v>335</v>
      </c>
      <c r="B484" t="s">
        <v>29</v>
      </c>
      <c r="C484" t="s">
        <v>30</v>
      </c>
      <c r="D484" t="s">
        <v>31</v>
      </c>
      <c r="E484" t="s">
        <v>32</v>
      </c>
      <c r="F484" t="s">
        <v>76</v>
      </c>
      <c r="G484" s="1">
        <v>250</v>
      </c>
      <c r="H484" s="1">
        <v>300</v>
      </c>
      <c r="I484">
        <v>2167</v>
      </c>
      <c r="J484" s="2">
        <v>0.1</v>
      </c>
      <c r="K484" s="1">
        <v>650100</v>
      </c>
      <c r="L484" s="1">
        <v>65010</v>
      </c>
      <c r="M484" s="1">
        <v>585090</v>
      </c>
      <c r="N484" s="1">
        <v>541750</v>
      </c>
      <c r="O484" s="1">
        <v>43340</v>
      </c>
      <c r="P484">
        <v>1</v>
      </c>
      <c r="Q484">
        <v>10</v>
      </c>
      <c r="R484">
        <v>2013</v>
      </c>
      <c r="S484" s="3">
        <v>41548</v>
      </c>
      <c r="T484" t="str">
        <f t="shared" si="7"/>
        <v>High Discount</v>
      </c>
    </row>
    <row r="485" spans="1:20" x14ac:dyDescent="0.25">
      <c r="A485" t="s">
        <v>346</v>
      </c>
      <c r="B485" t="s">
        <v>20</v>
      </c>
      <c r="C485" t="s">
        <v>21</v>
      </c>
      <c r="D485" t="s">
        <v>46</v>
      </c>
      <c r="E485" t="s">
        <v>47</v>
      </c>
      <c r="F485" t="s">
        <v>76</v>
      </c>
      <c r="G485" s="1">
        <v>250</v>
      </c>
      <c r="H485" s="1">
        <v>300</v>
      </c>
      <c r="I485">
        <v>2529</v>
      </c>
      <c r="J485" s="2">
        <v>0.1</v>
      </c>
      <c r="K485" s="1">
        <v>758700</v>
      </c>
      <c r="L485" s="1">
        <v>75870</v>
      </c>
      <c r="M485" s="1">
        <v>682830</v>
      </c>
      <c r="N485" s="1">
        <v>632250</v>
      </c>
      <c r="O485" s="1">
        <v>50580</v>
      </c>
      <c r="P485">
        <v>1</v>
      </c>
      <c r="Q485">
        <v>11</v>
      </c>
      <c r="R485">
        <v>2014</v>
      </c>
      <c r="S485" s="3">
        <v>41944</v>
      </c>
      <c r="T485" t="str">
        <f t="shared" si="7"/>
        <v>High Discount</v>
      </c>
    </row>
    <row r="486" spans="1:20" x14ac:dyDescent="0.25">
      <c r="A486" t="s">
        <v>271</v>
      </c>
      <c r="B486" t="s">
        <v>26</v>
      </c>
      <c r="C486" t="s">
        <v>27</v>
      </c>
      <c r="D486" t="s">
        <v>22</v>
      </c>
      <c r="E486" t="s">
        <v>23</v>
      </c>
      <c r="F486" t="s">
        <v>76</v>
      </c>
      <c r="G486" s="1">
        <v>250</v>
      </c>
      <c r="H486" s="1">
        <v>300</v>
      </c>
      <c r="I486">
        <v>1870</v>
      </c>
      <c r="J486" s="2">
        <v>0.1</v>
      </c>
      <c r="K486" s="1">
        <v>561000</v>
      </c>
      <c r="L486" s="1">
        <v>56100</v>
      </c>
      <c r="M486" s="1">
        <v>504900</v>
      </c>
      <c r="N486" s="1">
        <v>467500</v>
      </c>
      <c r="O486" s="1">
        <v>37400</v>
      </c>
      <c r="P486">
        <v>1</v>
      </c>
      <c r="Q486">
        <v>12</v>
      </c>
      <c r="R486">
        <v>2013</v>
      </c>
      <c r="S486" s="3">
        <v>41609</v>
      </c>
      <c r="T486" t="str">
        <f t="shared" si="7"/>
        <v>High Discount</v>
      </c>
    </row>
    <row r="487" spans="1:20" x14ac:dyDescent="0.25">
      <c r="A487" t="s">
        <v>347</v>
      </c>
      <c r="B487" t="s">
        <v>54</v>
      </c>
      <c r="C487" t="s">
        <v>55</v>
      </c>
      <c r="D487" t="s">
        <v>46</v>
      </c>
      <c r="E487" t="s">
        <v>47</v>
      </c>
      <c r="F487" t="s">
        <v>81</v>
      </c>
      <c r="G487" s="1">
        <v>200</v>
      </c>
      <c r="H487" s="1">
        <v>350</v>
      </c>
      <c r="I487">
        <v>579</v>
      </c>
      <c r="J487" s="2">
        <v>0.1</v>
      </c>
      <c r="K487" s="1">
        <v>202650</v>
      </c>
      <c r="L487" s="1">
        <v>20265</v>
      </c>
      <c r="M487" s="1">
        <v>182385</v>
      </c>
      <c r="N487" s="1">
        <v>115800</v>
      </c>
      <c r="O487" s="1">
        <v>66585</v>
      </c>
      <c r="P487">
        <v>1</v>
      </c>
      <c r="Q487">
        <v>1</v>
      </c>
      <c r="R487">
        <v>2014</v>
      </c>
      <c r="S487" s="3">
        <v>41640</v>
      </c>
      <c r="T487" t="str">
        <f t="shared" si="7"/>
        <v>High Discount</v>
      </c>
    </row>
    <row r="488" spans="1:20" x14ac:dyDescent="0.25">
      <c r="A488" t="s">
        <v>56</v>
      </c>
      <c r="B488" t="s">
        <v>20</v>
      </c>
      <c r="C488" t="s">
        <v>21</v>
      </c>
      <c r="D488" t="s">
        <v>22</v>
      </c>
      <c r="E488" t="s">
        <v>23</v>
      </c>
      <c r="F488" t="s">
        <v>81</v>
      </c>
      <c r="G488" s="1">
        <v>200</v>
      </c>
      <c r="H488" s="1">
        <v>350</v>
      </c>
      <c r="I488">
        <v>2240</v>
      </c>
      <c r="J488" s="2">
        <v>0.1</v>
      </c>
      <c r="K488" s="1">
        <v>784000</v>
      </c>
      <c r="L488" s="1">
        <v>78400</v>
      </c>
      <c r="M488" s="1">
        <v>705600</v>
      </c>
      <c r="N488" s="1">
        <v>448000</v>
      </c>
      <c r="O488" s="1">
        <v>257600</v>
      </c>
      <c r="P488">
        <v>1</v>
      </c>
      <c r="Q488">
        <v>2</v>
      </c>
      <c r="R488">
        <v>2014</v>
      </c>
      <c r="S488" s="3">
        <v>41671</v>
      </c>
      <c r="T488" t="str">
        <f t="shared" si="7"/>
        <v>High Discount</v>
      </c>
    </row>
    <row r="489" spans="1:20" x14ac:dyDescent="0.25">
      <c r="A489" t="s">
        <v>348</v>
      </c>
      <c r="B489" t="s">
        <v>54</v>
      </c>
      <c r="C489" t="s">
        <v>55</v>
      </c>
      <c r="D489" t="s">
        <v>49</v>
      </c>
      <c r="E489" t="s">
        <v>50</v>
      </c>
      <c r="F489" t="s">
        <v>81</v>
      </c>
      <c r="G489" s="1">
        <v>200</v>
      </c>
      <c r="H489" s="1">
        <v>350</v>
      </c>
      <c r="I489">
        <v>2993</v>
      </c>
      <c r="J489" s="2">
        <v>0.1</v>
      </c>
      <c r="K489" s="1">
        <v>1047550</v>
      </c>
      <c r="L489" s="1">
        <v>104755</v>
      </c>
      <c r="M489" s="1">
        <v>942795</v>
      </c>
      <c r="N489" s="1">
        <v>598600</v>
      </c>
      <c r="O489" s="1">
        <v>344195</v>
      </c>
      <c r="P489">
        <v>1</v>
      </c>
      <c r="Q489">
        <v>3</v>
      </c>
      <c r="R489">
        <v>2014</v>
      </c>
      <c r="S489" s="3">
        <v>41699</v>
      </c>
      <c r="T489" t="str">
        <f t="shared" si="7"/>
        <v>High Discount</v>
      </c>
    </row>
    <row r="490" spans="1:20" x14ac:dyDescent="0.25">
      <c r="A490" t="s">
        <v>349</v>
      </c>
      <c r="B490" t="s">
        <v>20</v>
      </c>
      <c r="C490" t="s">
        <v>21</v>
      </c>
      <c r="D490" t="s">
        <v>41</v>
      </c>
      <c r="E490" t="s">
        <v>42</v>
      </c>
      <c r="F490" t="s">
        <v>81</v>
      </c>
      <c r="G490" s="1">
        <v>200</v>
      </c>
      <c r="H490" s="1">
        <v>350</v>
      </c>
      <c r="I490">
        <v>3520</v>
      </c>
      <c r="J490" s="2">
        <v>0.10001420454545455</v>
      </c>
      <c r="K490" s="1">
        <v>1232000</v>
      </c>
      <c r="L490" s="1">
        <v>123217.50000000001</v>
      </c>
      <c r="M490" s="1">
        <v>1108782.5</v>
      </c>
      <c r="N490" s="1">
        <v>704000</v>
      </c>
      <c r="O490" s="1">
        <v>404782.5</v>
      </c>
      <c r="P490">
        <v>1</v>
      </c>
      <c r="Q490">
        <v>4</v>
      </c>
      <c r="R490">
        <v>2014</v>
      </c>
      <c r="S490" s="3">
        <v>41730</v>
      </c>
      <c r="T490" t="str">
        <f t="shared" si="7"/>
        <v>High Discount</v>
      </c>
    </row>
    <row r="491" spans="1:20" x14ac:dyDescent="0.25">
      <c r="A491" t="s">
        <v>115</v>
      </c>
      <c r="B491" t="s">
        <v>35</v>
      </c>
      <c r="C491" t="s">
        <v>36</v>
      </c>
      <c r="D491" t="s">
        <v>22</v>
      </c>
      <c r="E491" t="s">
        <v>23</v>
      </c>
      <c r="F491" t="s">
        <v>81</v>
      </c>
      <c r="G491" s="1">
        <v>200</v>
      </c>
      <c r="H491" s="1">
        <v>350</v>
      </c>
      <c r="I491">
        <v>2039</v>
      </c>
      <c r="J491" s="2">
        <v>0.1</v>
      </c>
      <c r="K491" s="1">
        <v>713650</v>
      </c>
      <c r="L491" s="1">
        <v>71365</v>
      </c>
      <c r="M491" s="1">
        <v>642285</v>
      </c>
      <c r="N491" s="1">
        <v>407800</v>
      </c>
      <c r="O491" s="1">
        <v>234485</v>
      </c>
      <c r="P491">
        <v>1</v>
      </c>
      <c r="Q491">
        <v>5</v>
      </c>
      <c r="R491">
        <v>2014</v>
      </c>
      <c r="S491" s="3">
        <v>41760</v>
      </c>
      <c r="T491" t="str">
        <f t="shared" si="7"/>
        <v>High Discount</v>
      </c>
    </row>
    <row r="492" spans="1:20" x14ac:dyDescent="0.25">
      <c r="A492" t="s">
        <v>350</v>
      </c>
      <c r="B492" t="s">
        <v>26</v>
      </c>
      <c r="C492" t="s">
        <v>27</v>
      </c>
      <c r="D492" t="s">
        <v>41</v>
      </c>
      <c r="E492" t="s">
        <v>42</v>
      </c>
      <c r="F492" t="s">
        <v>81</v>
      </c>
      <c r="G492" s="1">
        <v>200</v>
      </c>
      <c r="H492" s="1">
        <v>350</v>
      </c>
      <c r="I492">
        <v>2574</v>
      </c>
      <c r="J492" s="2">
        <v>0.1</v>
      </c>
      <c r="K492" s="1">
        <v>900900</v>
      </c>
      <c r="L492" s="1">
        <v>90090</v>
      </c>
      <c r="M492" s="1">
        <v>810810</v>
      </c>
      <c r="N492" s="1">
        <v>514800</v>
      </c>
      <c r="O492" s="1">
        <v>296010</v>
      </c>
      <c r="P492">
        <v>1</v>
      </c>
      <c r="Q492">
        <v>8</v>
      </c>
      <c r="R492">
        <v>2014</v>
      </c>
      <c r="S492" s="3">
        <v>41852</v>
      </c>
      <c r="T492" t="str">
        <f t="shared" si="7"/>
        <v>High Discount</v>
      </c>
    </row>
    <row r="493" spans="1:20" x14ac:dyDescent="0.25">
      <c r="A493" t="s">
        <v>187</v>
      </c>
      <c r="B493" t="s">
        <v>20</v>
      </c>
      <c r="C493" t="s">
        <v>21</v>
      </c>
      <c r="D493" t="s">
        <v>22</v>
      </c>
      <c r="E493" t="s">
        <v>23</v>
      </c>
      <c r="F493" t="s">
        <v>81</v>
      </c>
      <c r="G493" s="1">
        <v>200</v>
      </c>
      <c r="H493" s="1">
        <v>350</v>
      </c>
      <c r="I493">
        <v>707</v>
      </c>
      <c r="J493" s="2">
        <v>0.1</v>
      </c>
      <c r="K493" s="1">
        <v>247450</v>
      </c>
      <c r="L493" s="1">
        <v>24745</v>
      </c>
      <c r="M493" s="1">
        <v>222705</v>
      </c>
      <c r="N493" s="1">
        <v>141400</v>
      </c>
      <c r="O493" s="1">
        <v>81305</v>
      </c>
      <c r="P493">
        <v>1</v>
      </c>
      <c r="Q493">
        <v>9</v>
      </c>
      <c r="R493">
        <v>2014</v>
      </c>
      <c r="S493" s="3">
        <v>41883</v>
      </c>
      <c r="T493" t="str">
        <f t="shared" si="7"/>
        <v>High Discount</v>
      </c>
    </row>
    <row r="494" spans="1:20" x14ac:dyDescent="0.25">
      <c r="A494" t="s">
        <v>332</v>
      </c>
      <c r="B494" t="s">
        <v>29</v>
      </c>
      <c r="C494" t="s">
        <v>30</v>
      </c>
      <c r="D494" t="s">
        <v>31</v>
      </c>
      <c r="E494" t="s">
        <v>32</v>
      </c>
      <c r="F494" t="s">
        <v>81</v>
      </c>
      <c r="G494" s="1">
        <v>200</v>
      </c>
      <c r="H494" s="1">
        <v>350</v>
      </c>
      <c r="I494">
        <v>2072</v>
      </c>
      <c r="J494" s="2">
        <v>0.1</v>
      </c>
      <c r="K494" s="1">
        <v>725200</v>
      </c>
      <c r="L494" s="1">
        <v>72520</v>
      </c>
      <c r="M494" s="1">
        <v>652680</v>
      </c>
      <c r="N494" s="1">
        <v>414400</v>
      </c>
      <c r="O494" s="1">
        <v>238280</v>
      </c>
      <c r="P494">
        <v>1</v>
      </c>
      <c r="Q494">
        <v>12</v>
      </c>
      <c r="R494">
        <v>2014</v>
      </c>
      <c r="S494" s="3">
        <v>41974</v>
      </c>
      <c r="T494" t="str">
        <f t="shared" si="7"/>
        <v>High Discount</v>
      </c>
    </row>
    <row r="495" spans="1:20" x14ac:dyDescent="0.25">
      <c r="A495" t="s">
        <v>342</v>
      </c>
      <c r="B495" t="s">
        <v>29</v>
      </c>
      <c r="C495" t="s">
        <v>30</v>
      </c>
      <c r="D495" t="s">
        <v>49</v>
      </c>
      <c r="E495" t="s">
        <v>50</v>
      </c>
      <c r="F495" t="s">
        <v>81</v>
      </c>
      <c r="G495" s="1">
        <v>200</v>
      </c>
      <c r="H495" s="1">
        <v>350</v>
      </c>
      <c r="I495">
        <v>853</v>
      </c>
      <c r="J495" s="2">
        <v>0.1</v>
      </c>
      <c r="K495" s="1">
        <v>298550</v>
      </c>
      <c r="L495" s="1">
        <v>29855</v>
      </c>
      <c r="M495" s="1">
        <v>268695</v>
      </c>
      <c r="N495" s="1">
        <v>170600</v>
      </c>
      <c r="O495" s="1">
        <v>98095</v>
      </c>
      <c r="P495">
        <v>1</v>
      </c>
      <c r="Q495">
        <v>12</v>
      </c>
      <c r="R495">
        <v>2014</v>
      </c>
      <c r="S495" s="3">
        <v>41974</v>
      </c>
      <c r="T495" t="str">
        <f t="shared" si="7"/>
        <v>High Discount</v>
      </c>
    </row>
    <row r="496" spans="1:20" x14ac:dyDescent="0.25">
      <c r="A496" t="s">
        <v>351</v>
      </c>
      <c r="B496" t="s">
        <v>29</v>
      </c>
      <c r="C496" t="s">
        <v>30</v>
      </c>
      <c r="D496" t="s">
        <v>41</v>
      </c>
      <c r="E496" t="s">
        <v>42</v>
      </c>
      <c r="F496" t="s">
        <v>24</v>
      </c>
      <c r="G496" s="1">
        <v>3</v>
      </c>
      <c r="H496" s="1">
        <v>20</v>
      </c>
      <c r="I496">
        <v>1198</v>
      </c>
      <c r="J496" s="2">
        <v>0.10999999999999999</v>
      </c>
      <c r="K496" s="1">
        <v>23960</v>
      </c>
      <c r="L496" s="1">
        <v>2635.5999999999995</v>
      </c>
      <c r="M496" s="1">
        <v>21324.400000000001</v>
      </c>
      <c r="N496" s="1">
        <v>3594</v>
      </c>
      <c r="O496" s="1">
        <v>17730.400000000001</v>
      </c>
      <c r="P496">
        <v>1</v>
      </c>
      <c r="Q496">
        <v>10</v>
      </c>
      <c r="R496">
        <v>2013</v>
      </c>
      <c r="S496" s="3">
        <v>41548</v>
      </c>
      <c r="T496" t="str">
        <f t="shared" si="7"/>
        <v>High Discount</v>
      </c>
    </row>
    <row r="497" spans="1:20" x14ac:dyDescent="0.25">
      <c r="A497" t="s">
        <v>114</v>
      </c>
      <c r="B497" t="s">
        <v>29</v>
      </c>
      <c r="C497" t="s">
        <v>30</v>
      </c>
      <c r="D497" t="s">
        <v>22</v>
      </c>
      <c r="E497" t="s">
        <v>23</v>
      </c>
      <c r="F497" t="s">
        <v>57</v>
      </c>
      <c r="G497" s="1">
        <v>10</v>
      </c>
      <c r="H497" s="1">
        <v>20</v>
      </c>
      <c r="I497">
        <v>2532</v>
      </c>
      <c r="J497" s="2">
        <v>0.11</v>
      </c>
      <c r="K497" s="1">
        <v>50640</v>
      </c>
      <c r="L497" s="1">
        <v>5570.4</v>
      </c>
      <c r="M497" s="1">
        <v>45069.599999999999</v>
      </c>
      <c r="N497" s="1">
        <v>25320</v>
      </c>
      <c r="O497" s="1">
        <v>19749.599999999999</v>
      </c>
      <c r="P497">
        <v>1</v>
      </c>
      <c r="Q497">
        <v>4</v>
      </c>
      <c r="R497">
        <v>2014</v>
      </c>
      <c r="S497" s="3">
        <v>41730</v>
      </c>
      <c r="T497" t="str">
        <f t="shared" si="7"/>
        <v>High Discount</v>
      </c>
    </row>
    <row r="498" spans="1:20" x14ac:dyDescent="0.25">
      <c r="A498" t="s">
        <v>351</v>
      </c>
      <c r="B498" t="s">
        <v>29</v>
      </c>
      <c r="C498" t="s">
        <v>30</v>
      </c>
      <c r="D498" t="s">
        <v>41</v>
      </c>
      <c r="E498" t="s">
        <v>42</v>
      </c>
      <c r="F498" t="s">
        <v>57</v>
      </c>
      <c r="G498" s="1">
        <v>10</v>
      </c>
      <c r="H498" s="1">
        <v>20</v>
      </c>
      <c r="I498">
        <v>1198</v>
      </c>
      <c r="J498" s="2">
        <v>0.10999999999999999</v>
      </c>
      <c r="K498" s="1">
        <v>23960</v>
      </c>
      <c r="L498" s="1">
        <v>2635.5999999999995</v>
      </c>
      <c r="M498" s="1">
        <v>21324.400000000001</v>
      </c>
      <c r="N498" s="1">
        <v>11980</v>
      </c>
      <c r="O498" s="1">
        <v>9344.4000000000015</v>
      </c>
      <c r="P498">
        <v>1</v>
      </c>
      <c r="Q498">
        <v>10</v>
      </c>
      <c r="R498">
        <v>2013</v>
      </c>
      <c r="S498" s="3">
        <v>41548</v>
      </c>
      <c r="T498" t="str">
        <f t="shared" si="7"/>
        <v>High Discount</v>
      </c>
    </row>
    <row r="499" spans="1:20" x14ac:dyDescent="0.25">
      <c r="A499" t="s">
        <v>352</v>
      </c>
      <c r="B499" t="s">
        <v>20</v>
      </c>
      <c r="C499" t="s">
        <v>21</v>
      </c>
      <c r="D499" t="s">
        <v>31</v>
      </c>
      <c r="E499" t="s">
        <v>32</v>
      </c>
      <c r="F499" t="s">
        <v>71</v>
      </c>
      <c r="G499" s="1">
        <v>120</v>
      </c>
      <c r="H499" s="1">
        <v>180</v>
      </c>
      <c r="I499">
        <v>384</v>
      </c>
      <c r="J499" s="2">
        <v>0.11</v>
      </c>
      <c r="K499" s="1">
        <v>69120</v>
      </c>
      <c r="L499" s="1">
        <v>7603.2</v>
      </c>
      <c r="M499" s="1">
        <v>61516.800000000003</v>
      </c>
      <c r="N499" s="1">
        <v>46080</v>
      </c>
      <c r="O499" s="1">
        <v>15436.800000000003</v>
      </c>
      <c r="P499">
        <v>1</v>
      </c>
      <c r="Q499">
        <v>1</v>
      </c>
      <c r="R499">
        <v>2014</v>
      </c>
      <c r="S499" s="3">
        <v>41640</v>
      </c>
      <c r="T499" t="str">
        <f t="shared" si="7"/>
        <v>High Discount</v>
      </c>
    </row>
    <row r="500" spans="1:20" x14ac:dyDescent="0.25">
      <c r="A500" t="s">
        <v>353</v>
      </c>
      <c r="B500" t="s">
        <v>26</v>
      </c>
      <c r="C500" t="s">
        <v>27</v>
      </c>
      <c r="D500" t="s">
        <v>41</v>
      </c>
      <c r="E500" t="s">
        <v>42</v>
      </c>
      <c r="F500" t="s">
        <v>71</v>
      </c>
      <c r="G500" s="1">
        <v>120</v>
      </c>
      <c r="H500" s="1">
        <v>180</v>
      </c>
      <c r="I500">
        <v>472</v>
      </c>
      <c r="J500" s="2">
        <v>0.10999999999999999</v>
      </c>
      <c r="K500" s="1">
        <v>84960</v>
      </c>
      <c r="L500" s="1">
        <v>9345.5999999999985</v>
      </c>
      <c r="M500" s="1">
        <v>75614.399999999994</v>
      </c>
      <c r="N500" s="1">
        <v>56640</v>
      </c>
      <c r="O500" s="1">
        <v>18974.399999999994</v>
      </c>
      <c r="P500">
        <v>1</v>
      </c>
      <c r="Q500">
        <v>10</v>
      </c>
      <c r="R500">
        <v>2014</v>
      </c>
      <c r="S500" s="3">
        <v>41913</v>
      </c>
      <c r="T500" t="str">
        <f t="shared" si="7"/>
        <v>High Discount</v>
      </c>
    </row>
    <row r="501" spans="1:20" x14ac:dyDescent="0.25">
      <c r="A501" t="s">
        <v>260</v>
      </c>
      <c r="B501" t="s">
        <v>54</v>
      </c>
      <c r="C501" t="s">
        <v>55</v>
      </c>
      <c r="D501" t="s">
        <v>22</v>
      </c>
      <c r="E501" t="s">
        <v>23</v>
      </c>
      <c r="F501" t="s">
        <v>76</v>
      </c>
      <c r="G501" s="1">
        <v>250</v>
      </c>
      <c r="H501" s="1">
        <v>300</v>
      </c>
      <c r="I501">
        <v>1579</v>
      </c>
      <c r="J501" s="2">
        <v>0.10999999999999999</v>
      </c>
      <c r="K501" s="1">
        <v>473700</v>
      </c>
      <c r="L501" s="1">
        <v>52106.999999999993</v>
      </c>
      <c r="M501" s="1">
        <v>421593</v>
      </c>
      <c r="N501" s="1">
        <v>394750</v>
      </c>
      <c r="O501" s="1">
        <v>26843</v>
      </c>
      <c r="P501">
        <v>1</v>
      </c>
      <c r="Q501">
        <v>3</v>
      </c>
      <c r="R501">
        <v>2014</v>
      </c>
      <c r="S501" s="3">
        <v>41699</v>
      </c>
      <c r="T501" t="str">
        <f t="shared" si="7"/>
        <v>High Discount</v>
      </c>
    </row>
    <row r="502" spans="1:20" x14ac:dyDescent="0.25">
      <c r="A502" t="s">
        <v>354</v>
      </c>
      <c r="B502" t="s">
        <v>35</v>
      </c>
      <c r="C502" t="s">
        <v>36</v>
      </c>
      <c r="D502" t="s">
        <v>41</v>
      </c>
      <c r="E502" t="s">
        <v>42</v>
      </c>
      <c r="F502" t="s">
        <v>76</v>
      </c>
      <c r="G502" s="1">
        <v>250</v>
      </c>
      <c r="H502" s="1">
        <v>300</v>
      </c>
      <c r="I502">
        <v>1005</v>
      </c>
      <c r="J502" s="2">
        <v>0.10999999999999999</v>
      </c>
      <c r="K502" s="1">
        <v>301500</v>
      </c>
      <c r="L502" s="1">
        <v>33164.999999999993</v>
      </c>
      <c r="M502" s="1">
        <v>268335</v>
      </c>
      <c r="N502" s="1">
        <v>251250</v>
      </c>
      <c r="O502" s="1">
        <v>17085</v>
      </c>
      <c r="P502">
        <v>1</v>
      </c>
      <c r="Q502">
        <v>9</v>
      </c>
      <c r="R502">
        <v>2013</v>
      </c>
      <c r="S502" s="3">
        <v>41518</v>
      </c>
      <c r="T502" t="str">
        <f t="shared" si="7"/>
        <v>High Discount</v>
      </c>
    </row>
    <row r="503" spans="1:20" x14ac:dyDescent="0.25">
      <c r="A503" t="s">
        <v>355</v>
      </c>
      <c r="B503" t="s">
        <v>54</v>
      </c>
      <c r="C503" t="s">
        <v>55</v>
      </c>
      <c r="D503" t="s">
        <v>31</v>
      </c>
      <c r="E503" t="s">
        <v>32</v>
      </c>
      <c r="F503" t="s">
        <v>81</v>
      </c>
      <c r="G503" s="1">
        <v>200</v>
      </c>
      <c r="H503" s="1">
        <v>350</v>
      </c>
      <c r="I503">
        <v>3199</v>
      </c>
      <c r="J503" s="2">
        <v>0.11001729707200167</v>
      </c>
      <c r="K503" s="1">
        <v>1119650</v>
      </c>
      <c r="L503" s="1">
        <v>123180.86666666667</v>
      </c>
      <c r="M503" s="1">
        <v>996469.1333333333</v>
      </c>
      <c r="N503" s="1">
        <v>639800</v>
      </c>
      <c r="O503" s="1">
        <v>356669.1333333333</v>
      </c>
      <c r="P503">
        <v>1</v>
      </c>
      <c r="Q503">
        <v>7</v>
      </c>
      <c r="R503">
        <v>2014</v>
      </c>
      <c r="S503" s="3">
        <v>41821</v>
      </c>
      <c r="T503" t="str">
        <f t="shared" si="7"/>
        <v>High Discount</v>
      </c>
    </row>
    <row r="504" spans="1:20" x14ac:dyDescent="0.25">
      <c r="A504" t="s">
        <v>353</v>
      </c>
      <c r="B504" t="s">
        <v>26</v>
      </c>
      <c r="C504" t="s">
        <v>27</v>
      </c>
      <c r="D504" t="s">
        <v>41</v>
      </c>
      <c r="E504" t="s">
        <v>42</v>
      </c>
      <c r="F504" t="s">
        <v>81</v>
      </c>
      <c r="G504" s="1">
        <v>200</v>
      </c>
      <c r="H504" s="1">
        <v>350</v>
      </c>
      <c r="I504">
        <v>472</v>
      </c>
      <c r="J504" s="2">
        <v>0.10999999999999999</v>
      </c>
      <c r="K504" s="1">
        <v>165200</v>
      </c>
      <c r="L504" s="1">
        <v>18171.999999999996</v>
      </c>
      <c r="M504" s="1">
        <v>147028</v>
      </c>
      <c r="N504" s="1">
        <v>94400</v>
      </c>
      <c r="O504" s="1">
        <v>52628</v>
      </c>
      <c r="P504">
        <v>1</v>
      </c>
      <c r="Q504">
        <v>10</v>
      </c>
      <c r="R504">
        <v>2014</v>
      </c>
      <c r="S504" s="3">
        <v>41913</v>
      </c>
      <c r="T504" t="str">
        <f t="shared" si="7"/>
        <v>High Discount</v>
      </c>
    </row>
    <row r="505" spans="1:20" x14ac:dyDescent="0.25">
      <c r="A505" t="s">
        <v>356</v>
      </c>
      <c r="B505" t="s">
        <v>20</v>
      </c>
      <c r="C505" t="s">
        <v>21</v>
      </c>
      <c r="D505" t="s">
        <v>41</v>
      </c>
      <c r="E505" t="s">
        <v>42</v>
      </c>
      <c r="F505" t="s">
        <v>24</v>
      </c>
      <c r="G505" s="1">
        <v>3</v>
      </c>
      <c r="H505" s="1">
        <v>20</v>
      </c>
      <c r="I505">
        <v>1937</v>
      </c>
      <c r="J505" s="2">
        <v>0.11</v>
      </c>
      <c r="K505" s="1">
        <v>38740</v>
      </c>
      <c r="L505" s="1">
        <v>4261.3999999999996</v>
      </c>
      <c r="M505" s="1">
        <v>34478.6</v>
      </c>
      <c r="N505" s="1">
        <v>5811</v>
      </c>
      <c r="O505" s="1">
        <v>28667.599999999999</v>
      </c>
      <c r="P505">
        <v>1</v>
      </c>
      <c r="Q505">
        <v>2</v>
      </c>
      <c r="R505">
        <v>2014</v>
      </c>
      <c r="S505" s="3">
        <v>41671</v>
      </c>
      <c r="T505" t="str">
        <f t="shared" si="7"/>
        <v>High Discount</v>
      </c>
    </row>
    <row r="506" spans="1:20" x14ac:dyDescent="0.25">
      <c r="A506" t="s">
        <v>117</v>
      </c>
      <c r="B506" t="s">
        <v>26</v>
      </c>
      <c r="C506" t="s">
        <v>27</v>
      </c>
      <c r="D506" t="s">
        <v>22</v>
      </c>
      <c r="E506" t="s">
        <v>23</v>
      </c>
      <c r="F506" t="s">
        <v>24</v>
      </c>
      <c r="G506" s="1">
        <v>3</v>
      </c>
      <c r="H506" s="1">
        <v>20</v>
      </c>
      <c r="I506">
        <v>792</v>
      </c>
      <c r="J506" s="2">
        <v>0.11</v>
      </c>
      <c r="K506" s="1">
        <v>15840</v>
      </c>
      <c r="L506" s="1">
        <v>1742.4</v>
      </c>
      <c r="M506" s="1">
        <v>14097.6</v>
      </c>
      <c r="N506" s="1">
        <v>2376</v>
      </c>
      <c r="O506" s="1">
        <v>11721.6</v>
      </c>
      <c r="P506">
        <v>1</v>
      </c>
      <c r="Q506">
        <v>3</v>
      </c>
      <c r="R506">
        <v>2014</v>
      </c>
      <c r="S506" s="3">
        <v>41699</v>
      </c>
      <c r="T506" t="str">
        <f t="shared" si="7"/>
        <v>High Discount</v>
      </c>
    </row>
    <row r="507" spans="1:20" x14ac:dyDescent="0.25">
      <c r="A507" t="s">
        <v>357</v>
      </c>
      <c r="B507" t="s">
        <v>26</v>
      </c>
      <c r="C507" t="s">
        <v>27</v>
      </c>
      <c r="D507" t="s">
        <v>49</v>
      </c>
      <c r="E507" t="s">
        <v>50</v>
      </c>
      <c r="F507" t="s">
        <v>24</v>
      </c>
      <c r="G507" s="1">
        <v>3</v>
      </c>
      <c r="H507" s="1">
        <v>20</v>
      </c>
      <c r="I507">
        <v>2811</v>
      </c>
      <c r="J507" s="2">
        <v>0.11</v>
      </c>
      <c r="K507" s="1">
        <v>56220</v>
      </c>
      <c r="L507" s="1">
        <v>6184.2</v>
      </c>
      <c r="M507" s="1">
        <v>50035.8</v>
      </c>
      <c r="N507" s="1">
        <v>8433</v>
      </c>
      <c r="O507" s="1">
        <v>41602.800000000003</v>
      </c>
      <c r="P507">
        <v>1</v>
      </c>
      <c r="Q507">
        <v>7</v>
      </c>
      <c r="R507">
        <v>2014</v>
      </c>
      <c r="S507" s="3">
        <v>41821</v>
      </c>
      <c r="T507" t="str">
        <f t="shared" si="7"/>
        <v>High Discount</v>
      </c>
    </row>
    <row r="508" spans="1:20" x14ac:dyDescent="0.25">
      <c r="A508" t="s">
        <v>358</v>
      </c>
      <c r="B508" t="s">
        <v>29</v>
      </c>
      <c r="C508" t="s">
        <v>30</v>
      </c>
      <c r="D508" t="s">
        <v>46</v>
      </c>
      <c r="E508" t="s">
        <v>47</v>
      </c>
      <c r="F508" t="s">
        <v>24</v>
      </c>
      <c r="G508" s="1">
        <v>3</v>
      </c>
      <c r="H508" s="1">
        <v>20</v>
      </c>
      <c r="I508">
        <v>2441</v>
      </c>
      <c r="J508" s="2">
        <v>0.11</v>
      </c>
      <c r="K508" s="1">
        <v>48820</v>
      </c>
      <c r="L508" s="1">
        <v>5370.2</v>
      </c>
      <c r="M508" s="1">
        <v>43449.8</v>
      </c>
      <c r="N508" s="1">
        <v>7323</v>
      </c>
      <c r="O508" s="1">
        <v>36126.800000000003</v>
      </c>
      <c r="P508">
        <v>1</v>
      </c>
      <c r="Q508">
        <v>10</v>
      </c>
      <c r="R508">
        <v>2014</v>
      </c>
      <c r="S508" s="3">
        <v>41913</v>
      </c>
      <c r="T508" t="str">
        <f t="shared" si="7"/>
        <v>High Discount</v>
      </c>
    </row>
    <row r="509" spans="1:20" x14ac:dyDescent="0.25">
      <c r="A509" t="s">
        <v>359</v>
      </c>
      <c r="B509" t="s">
        <v>20</v>
      </c>
      <c r="C509" t="s">
        <v>21</v>
      </c>
      <c r="D509" t="s">
        <v>31</v>
      </c>
      <c r="E509" t="s">
        <v>32</v>
      </c>
      <c r="F509" t="s">
        <v>24</v>
      </c>
      <c r="G509" s="1">
        <v>3</v>
      </c>
      <c r="H509" s="1">
        <v>20</v>
      </c>
      <c r="I509">
        <v>1560</v>
      </c>
      <c r="J509" s="2">
        <v>0.11</v>
      </c>
      <c r="K509" s="1">
        <v>31200</v>
      </c>
      <c r="L509" s="1">
        <v>3432</v>
      </c>
      <c r="M509" s="1">
        <v>27768</v>
      </c>
      <c r="N509" s="1">
        <v>4680</v>
      </c>
      <c r="O509" s="1">
        <v>23088</v>
      </c>
      <c r="P509">
        <v>1</v>
      </c>
      <c r="Q509">
        <v>11</v>
      </c>
      <c r="R509">
        <v>2013</v>
      </c>
      <c r="S509" s="3">
        <v>41579</v>
      </c>
      <c r="T509" t="str">
        <f t="shared" si="7"/>
        <v>High Discount</v>
      </c>
    </row>
    <row r="510" spans="1:20" x14ac:dyDescent="0.25">
      <c r="A510" t="s">
        <v>243</v>
      </c>
      <c r="B510" t="s">
        <v>35</v>
      </c>
      <c r="C510" t="s">
        <v>36</v>
      </c>
      <c r="D510" t="s">
        <v>22</v>
      </c>
      <c r="E510" t="s">
        <v>23</v>
      </c>
      <c r="F510" t="s">
        <v>24</v>
      </c>
      <c r="G510" s="1">
        <v>3</v>
      </c>
      <c r="H510" s="1">
        <v>20</v>
      </c>
      <c r="I510">
        <v>2706</v>
      </c>
      <c r="J510" s="2">
        <v>0.11</v>
      </c>
      <c r="K510" s="1">
        <v>54120</v>
      </c>
      <c r="L510" s="1">
        <v>5953.2</v>
      </c>
      <c r="M510" s="1">
        <v>48166.8</v>
      </c>
      <c r="N510" s="1">
        <v>8118</v>
      </c>
      <c r="O510" s="1">
        <v>40048.800000000003</v>
      </c>
      <c r="P510">
        <v>1</v>
      </c>
      <c r="Q510">
        <v>11</v>
      </c>
      <c r="R510">
        <v>2013</v>
      </c>
      <c r="S510" s="3">
        <v>41579</v>
      </c>
      <c r="T510" t="str">
        <f t="shared" si="7"/>
        <v>High Discount</v>
      </c>
    </row>
    <row r="511" spans="1:20" x14ac:dyDescent="0.25">
      <c r="A511" t="s">
        <v>25</v>
      </c>
      <c r="B511" t="s">
        <v>26</v>
      </c>
      <c r="C511" t="s">
        <v>27</v>
      </c>
      <c r="D511" t="s">
        <v>22</v>
      </c>
      <c r="E511" t="s">
        <v>23</v>
      </c>
      <c r="F511" t="s">
        <v>39</v>
      </c>
      <c r="G511" s="1">
        <v>5</v>
      </c>
      <c r="H511" s="1">
        <v>15</v>
      </c>
      <c r="I511">
        <v>766</v>
      </c>
      <c r="J511" s="2">
        <v>0.11</v>
      </c>
      <c r="K511" s="1">
        <v>11490</v>
      </c>
      <c r="L511" s="1">
        <v>1263.9000000000001</v>
      </c>
      <c r="M511" s="1">
        <v>10226.1</v>
      </c>
      <c r="N511" s="1">
        <v>3830</v>
      </c>
      <c r="O511" s="1">
        <v>6396.1</v>
      </c>
      <c r="P511">
        <v>1</v>
      </c>
      <c r="Q511">
        <v>1</v>
      </c>
      <c r="R511">
        <v>2014</v>
      </c>
      <c r="S511" s="3">
        <v>41640</v>
      </c>
      <c r="T511" t="str">
        <f t="shared" si="7"/>
        <v>High Discount</v>
      </c>
    </row>
    <row r="512" spans="1:20" x14ac:dyDescent="0.25">
      <c r="A512" t="s">
        <v>143</v>
      </c>
      <c r="B512" t="s">
        <v>26</v>
      </c>
      <c r="C512" t="s">
        <v>27</v>
      </c>
      <c r="D512" t="s">
        <v>22</v>
      </c>
      <c r="E512" t="s">
        <v>23</v>
      </c>
      <c r="F512" t="s">
        <v>39</v>
      </c>
      <c r="G512" s="1">
        <v>5</v>
      </c>
      <c r="H512" s="1">
        <v>15</v>
      </c>
      <c r="I512">
        <v>2992</v>
      </c>
      <c r="J512" s="2">
        <v>0.11</v>
      </c>
      <c r="K512" s="1">
        <v>44880</v>
      </c>
      <c r="L512" s="1">
        <v>4936.8</v>
      </c>
      <c r="M512" s="1">
        <v>39943.199999999997</v>
      </c>
      <c r="N512" s="1">
        <v>14960</v>
      </c>
      <c r="O512" s="1">
        <v>24983.199999999997</v>
      </c>
      <c r="P512">
        <v>1</v>
      </c>
      <c r="Q512">
        <v>10</v>
      </c>
      <c r="R512">
        <v>2013</v>
      </c>
      <c r="S512" s="3">
        <v>41548</v>
      </c>
      <c r="T512" t="str">
        <f t="shared" si="7"/>
        <v>High Discount</v>
      </c>
    </row>
    <row r="513" spans="1:20" x14ac:dyDescent="0.25">
      <c r="A513" t="s">
        <v>360</v>
      </c>
      <c r="B513" t="s">
        <v>35</v>
      </c>
      <c r="C513" t="s">
        <v>36</v>
      </c>
      <c r="D513" t="s">
        <v>31</v>
      </c>
      <c r="E513" t="s">
        <v>32</v>
      </c>
      <c r="F513" t="s">
        <v>39</v>
      </c>
      <c r="G513" s="1">
        <v>5</v>
      </c>
      <c r="H513" s="1">
        <v>15</v>
      </c>
      <c r="I513">
        <v>2157</v>
      </c>
      <c r="J513" s="2">
        <v>0.11</v>
      </c>
      <c r="K513" s="1">
        <v>32355</v>
      </c>
      <c r="L513" s="1">
        <v>3559.05</v>
      </c>
      <c r="M513" s="1">
        <v>28795.95</v>
      </c>
      <c r="N513" s="1">
        <v>10785</v>
      </c>
      <c r="O513" s="1">
        <v>18010.95</v>
      </c>
      <c r="P513">
        <v>1</v>
      </c>
      <c r="Q513">
        <v>12</v>
      </c>
      <c r="R513">
        <v>2014</v>
      </c>
      <c r="S513" s="3">
        <v>41974</v>
      </c>
      <c r="T513" t="str">
        <f t="shared" si="7"/>
        <v>High Discount</v>
      </c>
    </row>
    <row r="514" spans="1:20" x14ac:dyDescent="0.25">
      <c r="A514" t="s">
        <v>361</v>
      </c>
      <c r="B514" t="s">
        <v>20</v>
      </c>
      <c r="C514" t="s">
        <v>21</v>
      </c>
      <c r="D514" t="s">
        <v>49</v>
      </c>
      <c r="E514" t="s">
        <v>50</v>
      </c>
      <c r="F514" t="s">
        <v>57</v>
      </c>
      <c r="G514" s="1">
        <v>10</v>
      </c>
      <c r="H514" s="1">
        <v>20</v>
      </c>
      <c r="I514">
        <v>873</v>
      </c>
      <c r="J514" s="2">
        <v>0.11</v>
      </c>
      <c r="K514" s="1">
        <v>17460</v>
      </c>
      <c r="L514" s="1">
        <v>1920.6</v>
      </c>
      <c r="M514" s="1">
        <v>15539.4</v>
      </c>
      <c r="N514" s="1">
        <v>8730</v>
      </c>
      <c r="O514" s="1">
        <v>6809.4</v>
      </c>
      <c r="P514">
        <v>1</v>
      </c>
      <c r="Q514">
        <v>1</v>
      </c>
      <c r="R514">
        <v>2014</v>
      </c>
      <c r="S514" s="3">
        <v>41640</v>
      </c>
      <c r="T514" t="str">
        <f t="shared" ref="T514:T577" si="8">_xlfn.IFS(J514=0%,"No Discount",J514&lt;=3%,"Very Low Discount",J514&lt;=6%,"Low Discount",J514&lt;=9%,"Mid Discount",J514&lt;=12%,"High Discount",J514&lt;=15%,"Very High Discount")</f>
        <v>High Discount</v>
      </c>
    </row>
    <row r="515" spans="1:20" x14ac:dyDescent="0.25">
      <c r="A515" t="s">
        <v>92</v>
      </c>
      <c r="B515" t="s">
        <v>35</v>
      </c>
      <c r="C515" t="s">
        <v>36</v>
      </c>
      <c r="D515" t="s">
        <v>22</v>
      </c>
      <c r="E515" t="s">
        <v>23</v>
      </c>
      <c r="F515" t="s">
        <v>57</v>
      </c>
      <c r="G515" s="1">
        <v>10</v>
      </c>
      <c r="H515" s="1">
        <v>20</v>
      </c>
      <c r="I515">
        <v>1122</v>
      </c>
      <c r="J515" s="2">
        <v>0.11</v>
      </c>
      <c r="K515" s="1">
        <v>22440</v>
      </c>
      <c r="L515" s="1">
        <v>2468.4</v>
      </c>
      <c r="M515" s="1">
        <v>19971.599999999999</v>
      </c>
      <c r="N515" s="1">
        <v>11220</v>
      </c>
      <c r="O515" s="1">
        <v>8751.5999999999985</v>
      </c>
      <c r="P515">
        <v>1</v>
      </c>
      <c r="Q515">
        <v>3</v>
      </c>
      <c r="R515">
        <v>2014</v>
      </c>
      <c r="S515" s="3">
        <v>41699</v>
      </c>
      <c r="T515" t="str">
        <f t="shared" si="8"/>
        <v>High Discount</v>
      </c>
    </row>
    <row r="516" spans="1:20" x14ac:dyDescent="0.25">
      <c r="A516" t="s">
        <v>322</v>
      </c>
      <c r="B516" t="s">
        <v>20</v>
      </c>
      <c r="C516" t="s">
        <v>21</v>
      </c>
      <c r="D516" t="s">
        <v>22</v>
      </c>
      <c r="E516" t="s">
        <v>23</v>
      </c>
      <c r="F516" t="s">
        <v>57</v>
      </c>
      <c r="G516" s="1">
        <v>10</v>
      </c>
      <c r="H516" s="1">
        <v>20</v>
      </c>
      <c r="I516">
        <v>2104</v>
      </c>
      <c r="J516" s="2">
        <v>0.11002614068441065</v>
      </c>
      <c r="K516" s="1">
        <v>42080</v>
      </c>
      <c r="L516" s="1">
        <v>4629.8999999999996</v>
      </c>
      <c r="M516" s="1">
        <v>37450.1</v>
      </c>
      <c r="N516" s="1">
        <v>21040</v>
      </c>
      <c r="O516" s="1">
        <v>16410.099999999999</v>
      </c>
      <c r="P516">
        <v>1</v>
      </c>
      <c r="Q516">
        <v>7</v>
      </c>
      <c r="R516">
        <v>2014</v>
      </c>
      <c r="S516" s="3">
        <v>41821</v>
      </c>
      <c r="T516" t="str">
        <f t="shared" si="8"/>
        <v>High Discount</v>
      </c>
    </row>
    <row r="517" spans="1:20" x14ac:dyDescent="0.25">
      <c r="A517" t="s">
        <v>362</v>
      </c>
      <c r="B517" t="s">
        <v>20</v>
      </c>
      <c r="C517" t="s">
        <v>21</v>
      </c>
      <c r="D517" t="s">
        <v>41</v>
      </c>
      <c r="E517" t="s">
        <v>42</v>
      </c>
      <c r="F517" t="s">
        <v>57</v>
      </c>
      <c r="G517" s="1">
        <v>10</v>
      </c>
      <c r="H517" s="1">
        <v>20</v>
      </c>
      <c r="I517">
        <v>4026</v>
      </c>
      <c r="J517" s="2">
        <v>0.11</v>
      </c>
      <c r="K517" s="1">
        <v>80520</v>
      </c>
      <c r="L517" s="1">
        <v>8857.2000000000007</v>
      </c>
      <c r="M517" s="1">
        <v>71662.8</v>
      </c>
      <c r="N517" s="1">
        <v>40260</v>
      </c>
      <c r="O517" s="1">
        <v>31402.800000000003</v>
      </c>
      <c r="P517">
        <v>1</v>
      </c>
      <c r="Q517">
        <v>7</v>
      </c>
      <c r="R517">
        <v>2014</v>
      </c>
      <c r="S517" s="3">
        <v>41821</v>
      </c>
      <c r="T517" t="str">
        <f t="shared" si="8"/>
        <v>High Discount</v>
      </c>
    </row>
    <row r="518" spans="1:20" x14ac:dyDescent="0.25">
      <c r="A518" t="s">
        <v>363</v>
      </c>
      <c r="B518" t="s">
        <v>29</v>
      </c>
      <c r="C518" t="s">
        <v>30</v>
      </c>
      <c r="D518" t="s">
        <v>41</v>
      </c>
      <c r="E518" t="s">
        <v>42</v>
      </c>
      <c r="F518" t="s">
        <v>57</v>
      </c>
      <c r="G518" s="1">
        <v>10</v>
      </c>
      <c r="H518" s="1">
        <v>20</v>
      </c>
      <c r="I518">
        <v>2425</v>
      </c>
      <c r="J518" s="2">
        <v>0.11002268041237113</v>
      </c>
      <c r="K518" s="1">
        <v>48500</v>
      </c>
      <c r="L518" s="1">
        <v>5336.1</v>
      </c>
      <c r="M518" s="1">
        <v>43163.9</v>
      </c>
      <c r="N518" s="1">
        <v>24250</v>
      </c>
      <c r="O518" s="1">
        <v>18913.900000000001</v>
      </c>
      <c r="P518">
        <v>1</v>
      </c>
      <c r="Q518">
        <v>7</v>
      </c>
      <c r="R518">
        <v>2014</v>
      </c>
      <c r="S518" s="3">
        <v>41821</v>
      </c>
      <c r="T518" t="str">
        <f t="shared" si="8"/>
        <v>High Discount</v>
      </c>
    </row>
    <row r="519" spans="1:20" x14ac:dyDescent="0.25">
      <c r="A519" t="s">
        <v>104</v>
      </c>
      <c r="B519" t="s">
        <v>20</v>
      </c>
      <c r="C519" t="s">
        <v>21</v>
      </c>
      <c r="D519" t="s">
        <v>22</v>
      </c>
      <c r="E519" t="s">
        <v>23</v>
      </c>
      <c r="F519" t="s">
        <v>57</v>
      </c>
      <c r="G519" s="1">
        <v>10</v>
      </c>
      <c r="H519" s="1">
        <v>20</v>
      </c>
      <c r="I519">
        <v>2394</v>
      </c>
      <c r="J519" s="2">
        <v>0.11</v>
      </c>
      <c r="K519" s="1">
        <v>47880</v>
      </c>
      <c r="L519" s="1">
        <v>5266.8</v>
      </c>
      <c r="M519" s="1">
        <v>42613.2</v>
      </c>
      <c r="N519" s="1">
        <v>23940</v>
      </c>
      <c r="O519" s="1">
        <v>18673.199999999997</v>
      </c>
      <c r="P519">
        <v>1</v>
      </c>
      <c r="Q519">
        <v>8</v>
      </c>
      <c r="R519">
        <v>2014</v>
      </c>
      <c r="S519" s="3">
        <v>41852</v>
      </c>
      <c r="T519" t="str">
        <f t="shared" si="8"/>
        <v>High Discount</v>
      </c>
    </row>
    <row r="520" spans="1:20" x14ac:dyDescent="0.25">
      <c r="A520" t="s">
        <v>364</v>
      </c>
      <c r="B520" t="s">
        <v>35</v>
      </c>
      <c r="C520" t="s">
        <v>36</v>
      </c>
      <c r="D520" t="s">
        <v>31</v>
      </c>
      <c r="E520" t="s">
        <v>32</v>
      </c>
      <c r="F520" t="s">
        <v>57</v>
      </c>
      <c r="G520" s="1">
        <v>10</v>
      </c>
      <c r="H520" s="1">
        <v>20</v>
      </c>
      <c r="I520">
        <v>1984</v>
      </c>
      <c r="J520" s="2">
        <v>0.11</v>
      </c>
      <c r="K520" s="1">
        <v>39680</v>
      </c>
      <c r="L520" s="1">
        <v>4364.8</v>
      </c>
      <c r="M520" s="1">
        <v>35315.199999999997</v>
      </c>
      <c r="N520" s="1">
        <v>19840</v>
      </c>
      <c r="O520" s="1">
        <v>15475.199999999997</v>
      </c>
      <c r="P520">
        <v>1</v>
      </c>
      <c r="Q520">
        <v>8</v>
      </c>
      <c r="R520">
        <v>2014</v>
      </c>
      <c r="S520" s="3">
        <v>41852</v>
      </c>
      <c r="T520" t="str">
        <f t="shared" si="8"/>
        <v>High Discount</v>
      </c>
    </row>
    <row r="521" spans="1:20" x14ac:dyDescent="0.25">
      <c r="A521" t="s">
        <v>358</v>
      </c>
      <c r="B521" t="s">
        <v>29</v>
      </c>
      <c r="C521" t="s">
        <v>30</v>
      </c>
      <c r="D521" t="s">
        <v>46</v>
      </c>
      <c r="E521" t="s">
        <v>47</v>
      </c>
      <c r="F521" t="s">
        <v>57</v>
      </c>
      <c r="G521" s="1">
        <v>10</v>
      </c>
      <c r="H521" s="1">
        <v>20</v>
      </c>
      <c r="I521">
        <v>2441</v>
      </c>
      <c r="J521" s="2">
        <v>0.11</v>
      </c>
      <c r="K521" s="1">
        <v>48820</v>
      </c>
      <c r="L521" s="1">
        <v>5370.2</v>
      </c>
      <c r="M521" s="1">
        <v>43449.8</v>
      </c>
      <c r="N521" s="1">
        <v>24410</v>
      </c>
      <c r="O521" s="1">
        <v>19039.800000000003</v>
      </c>
      <c r="P521">
        <v>1</v>
      </c>
      <c r="Q521">
        <v>10</v>
      </c>
      <c r="R521">
        <v>2014</v>
      </c>
      <c r="S521" s="3">
        <v>41913</v>
      </c>
      <c r="T521" t="str">
        <f t="shared" si="8"/>
        <v>High Discount</v>
      </c>
    </row>
    <row r="522" spans="1:20" x14ac:dyDescent="0.25">
      <c r="A522" t="s">
        <v>143</v>
      </c>
      <c r="B522" t="s">
        <v>26</v>
      </c>
      <c r="C522" t="s">
        <v>27</v>
      </c>
      <c r="D522" t="s">
        <v>22</v>
      </c>
      <c r="E522" t="s">
        <v>23</v>
      </c>
      <c r="F522" t="s">
        <v>57</v>
      </c>
      <c r="G522" s="1">
        <v>10</v>
      </c>
      <c r="H522" s="1">
        <v>20</v>
      </c>
      <c r="I522">
        <v>2992</v>
      </c>
      <c r="J522" s="2">
        <v>0.11</v>
      </c>
      <c r="K522" s="1">
        <v>59840</v>
      </c>
      <c r="L522" s="1">
        <v>6582.4</v>
      </c>
      <c r="M522" s="1">
        <v>53257.599999999999</v>
      </c>
      <c r="N522" s="1">
        <v>29920</v>
      </c>
      <c r="O522" s="1">
        <v>23337.599999999999</v>
      </c>
      <c r="P522">
        <v>1</v>
      </c>
      <c r="Q522">
        <v>10</v>
      </c>
      <c r="R522">
        <v>2013</v>
      </c>
      <c r="S522" s="3">
        <v>41548</v>
      </c>
      <c r="T522" t="str">
        <f t="shared" si="8"/>
        <v>High Discount</v>
      </c>
    </row>
    <row r="523" spans="1:20" x14ac:dyDescent="0.25">
      <c r="A523" t="s">
        <v>365</v>
      </c>
      <c r="B523" t="s">
        <v>20</v>
      </c>
      <c r="C523" t="s">
        <v>21</v>
      </c>
      <c r="D523" t="s">
        <v>49</v>
      </c>
      <c r="E523" t="s">
        <v>50</v>
      </c>
      <c r="F523" t="s">
        <v>57</v>
      </c>
      <c r="G523" s="1">
        <v>10</v>
      </c>
      <c r="H523" s="1">
        <v>20</v>
      </c>
      <c r="I523">
        <v>1366</v>
      </c>
      <c r="J523" s="2">
        <v>0.11</v>
      </c>
      <c r="K523" s="1">
        <v>27320</v>
      </c>
      <c r="L523" s="1">
        <v>3005.2</v>
      </c>
      <c r="M523" s="1">
        <v>24314.799999999999</v>
      </c>
      <c r="N523" s="1">
        <v>13660</v>
      </c>
      <c r="O523" s="1">
        <v>10654.8</v>
      </c>
      <c r="P523">
        <v>1</v>
      </c>
      <c r="Q523">
        <v>11</v>
      </c>
      <c r="R523">
        <v>2014</v>
      </c>
      <c r="S523" s="3">
        <v>41944</v>
      </c>
      <c r="T523" t="str">
        <f t="shared" si="8"/>
        <v>High Discount</v>
      </c>
    </row>
    <row r="524" spans="1:20" x14ac:dyDescent="0.25">
      <c r="A524" t="s">
        <v>78</v>
      </c>
      <c r="B524" t="s">
        <v>29</v>
      </c>
      <c r="C524" t="s">
        <v>30</v>
      </c>
      <c r="D524" t="s">
        <v>22</v>
      </c>
      <c r="E524" t="s">
        <v>23</v>
      </c>
      <c r="F524" t="s">
        <v>71</v>
      </c>
      <c r="G524" s="1">
        <v>120</v>
      </c>
      <c r="H524" s="1">
        <v>180</v>
      </c>
      <c r="I524">
        <v>2805</v>
      </c>
      <c r="J524" s="2">
        <v>0.11</v>
      </c>
      <c r="K524" s="1">
        <v>504900</v>
      </c>
      <c r="L524" s="1">
        <v>55539</v>
      </c>
      <c r="M524" s="1">
        <v>449361</v>
      </c>
      <c r="N524" s="1">
        <v>336600</v>
      </c>
      <c r="O524" s="1">
        <v>112761</v>
      </c>
      <c r="P524">
        <v>1</v>
      </c>
      <c r="Q524">
        <v>9</v>
      </c>
      <c r="R524">
        <v>2013</v>
      </c>
      <c r="S524" s="3">
        <v>41518</v>
      </c>
      <c r="T524" t="str">
        <f t="shared" si="8"/>
        <v>High Discount</v>
      </c>
    </row>
    <row r="525" spans="1:20" x14ac:dyDescent="0.25">
      <c r="A525" t="s">
        <v>366</v>
      </c>
      <c r="B525" t="s">
        <v>35</v>
      </c>
      <c r="C525" t="s">
        <v>36</v>
      </c>
      <c r="D525" t="s">
        <v>31</v>
      </c>
      <c r="E525" t="s">
        <v>32</v>
      </c>
      <c r="F525" t="s">
        <v>71</v>
      </c>
      <c r="G525" s="1">
        <v>120</v>
      </c>
      <c r="H525" s="1">
        <v>180</v>
      </c>
      <c r="I525">
        <v>655</v>
      </c>
      <c r="J525" s="2">
        <v>0.11</v>
      </c>
      <c r="K525" s="1">
        <v>117900</v>
      </c>
      <c r="L525" s="1">
        <v>12969</v>
      </c>
      <c r="M525" s="1">
        <v>104931</v>
      </c>
      <c r="N525" s="1">
        <v>78600</v>
      </c>
      <c r="O525" s="1">
        <v>26331</v>
      </c>
      <c r="P525">
        <v>1</v>
      </c>
      <c r="Q525">
        <v>9</v>
      </c>
      <c r="R525">
        <v>2013</v>
      </c>
      <c r="S525" s="3">
        <v>41518</v>
      </c>
      <c r="T525" t="str">
        <f t="shared" si="8"/>
        <v>High Discount</v>
      </c>
    </row>
    <row r="526" spans="1:20" x14ac:dyDescent="0.25">
      <c r="A526" t="s">
        <v>367</v>
      </c>
      <c r="B526" t="s">
        <v>35</v>
      </c>
      <c r="C526" t="s">
        <v>36</v>
      </c>
      <c r="D526" t="s">
        <v>22</v>
      </c>
      <c r="E526" t="s">
        <v>23</v>
      </c>
      <c r="F526" t="s">
        <v>71</v>
      </c>
      <c r="G526" s="1">
        <v>120</v>
      </c>
      <c r="H526" s="1">
        <v>180</v>
      </c>
      <c r="I526">
        <v>344</v>
      </c>
      <c r="J526" s="2">
        <v>0.11</v>
      </c>
      <c r="K526" s="1">
        <v>61920</v>
      </c>
      <c r="L526" s="1">
        <v>6811.2</v>
      </c>
      <c r="M526" s="1">
        <v>55108.800000000003</v>
      </c>
      <c r="N526" s="1">
        <v>41280</v>
      </c>
      <c r="O526" s="1">
        <v>13828.800000000003</v>
      </c>
      <c r="P526">
        <v>1</v>
      </c>
      <c r="Q526">
        <v>10</v>
      </c>
      <c r="R526">
        <v>2013</v>
      </c>
      <c r="S526" s="3">
        <v>41548</v>
      </c>
      <c r="T526" t="str">
        <f t="shared" si="8"/>
        <v>High Discount</v>
      </c>
    </row>
    <row r="527" spans="1:20" x14ac:dyDescent="0.25">
      <c r="A527" t="s">
        <v>280</v>
      </c>
      <c r="B527" t="s">
        <v>20</v>
      </c>
      <c r="C527" t="s">
        <v>21</v>
      </c>
      <c r="D527" t="s">
        <v>22</v>
      </c>
      <c r="E527" t="s">
        <v>23</v>
      </c>
      <c r="F527" t="s">
        <v>71</v>
      </c>
      <c r="G527" s="1">
        <v>120</v>
      </c>
      <c r="H527" s="1">
        <v>180</v>
      </c>
      <c r="I527">
        <v>1808</v>
      </c>
      <c r="J527" s="2">
        <v>0.11</v>
      </c>
      <c r="K527" s="1">
        <v>325440</v>
      </c>
      <c r="L527" s="1">
        <v>35798.400000000001</v>
      </c>
      <c r="M527" s="1">
        <v>289641.59999999998</v>
      </c>
      <c r="N527" s="1">
        <v>216960</v>
      </c>
      <c r="O527" s="1">
        <v>72681.599999999977</v>
      </c>
      <c r="P527">
        <v>1</v>
      </c>
      <c r="Q527">
        <v>11</v>
      </c>
      <c r="R527">
        <v>2014</v>
      </c>
      <c r="S527" s="3">
        <v>41944</v>
      </c>
      <c r="T527" t="str">
        <f t="shared" si="8"/>
        <v>High Discount</v>
      </c>
    </row>
    <row r="528" spans="1:20" x14ac:dyDescent="0.25">
      <c r="A528" t="s">
        <v>368</v>
      </c>
      <c r="B528" t="s">
        <v>29</v>
      </c>
      <c r="C528" t="s">
        <v>30</v>
      </c>
      <c r="D528" t="s">
        <v>41</v>
      </c>
      <c r="E528" t="s">
        <v>42</v>
      </c>
      <c r="F528" t="s">
        <v>76</v>
      </c>
      <c r="G528" s="1">
        <v>250</v>
      </c>
      <c r="H528" s="1">
        <v>300</v>
      </c>
      <c r="I528">
        <v>1734</v>
      </c>
      <c r="J528" s="2">
        <v>0.11</v>
      </c>
      <c r="K528" s="1">
        <v>520200</v>
      </c>
      <c r="L528" s="1">
        <v>57222</v>
      </c>
      <c r="M528" s="1">
        <v>462978</v>
      </c>
      <c r="N528" s="1">
        <v>433500</v>
      </c>
      <c r="O528" s="1">
        <v>29478</v>
      </c>
      <c r="P528">
        <v>1</v>
      </c>
      <c r="Q528">
        <v>1</v>
      </c>
      <c r="R528">
        <v>2014</v>
      </c>
      <c r="S528" s="3">
        <v>41640</v>
      </c>
      <c r="T528" t="str">
        <f t="shared" si="8"/>
        <v>High Discount</v>
      </c>
    </row>
    <row r="529" spans="1:20" x14ac:dyDescent="0.25">
      <c r="A529" t="s">
        <v>369</v>
      </c>
      <c r="B529" t="s">
        <v>35</v>
      </c>
      <c r="C529" t="s">
        <v>36</v>
      </c>
      <c r="D529" t="s">
        <v>46</v>
      </c>
      <c r="E529" t="s">
        <v>47</v>
      </c>
      <c r="F529" t="s">
        <v>76</v>
      </c>
      <c r="G529" s="1">
        <v>250</v>
      </c>
      <c r="H529" s="1">
        <v>300</v>
      </c>
      <c r="I529">
        <v>554</v>
      </c>
      <c r="J529" s="2">
        <v>0.11</v>
      </c>
      <c r="K529" s="1">
        <v>166200</v>
      </c>
      <c r="L529" s="1">
        <v>18282</v>
      </c>
      <c r="M529" s="1">
        <v>147918</v>
      </c>
      <c r="N529" s="1">
        <v>138500</v>
      </c>
      <c r="O529" s="1">
        <v>9418</v>
      </c>
      <c r="P529">
        <v>1</v>
      </c>
      <c r="Q529">
        <v>1</v>
      </c>
      <c r="R529">
        <v>2014</v>
      </c>
      <c r="S529" s="3">
        <v>41640</v>
      </c>
      <c r="T529" t="str">
        <f t="shared" si="8"/>
        <v>High Discount</v>
      </c>
    </row>
    <row r="530" spans="1:20" x14ac:dyDescent="0.25">
      <c r="A530" t="s">
        <v>66</v>
      </c>
      <c r="B530" t="s">
        <v>20</v>
      </c>
      <c r="C530" t="s">
        <v>21</v>
      </c>
      <c r="D530" t="s">
        <v>22</v>
      </c>
      <c r="E530" t="s">
        <v>23</v>
      </c>
      <c r="F530" t="s">
        <v>76</v>
      </c>
      <c r="G530" s="1">
        <v>250</v>
      </c>
      <c r="H530" s="1">
        <v>300</v>
      </c>
      <c r="I530">
        <v>2935</v>
      </c>
      <c r="J530" s="2">
        <v>0.11</v>
      </c>
      <c r="K530" s="1">
        <v>880500</v>
      </c>
      <c r="L530" s="1">
        <v>96855</v>
      </c>
      <c r="M530" s="1">
        <v>783645</v>
      </c>
      <c r="N530" s="1">
        <v>733750</v>
      </c>
      <c r="O530" s="1">
        <v>49895</v>
      </c>
      <c r="P530">
        <v>1</v>
      </c>
      <c r="Q530">
        <v>11</v>
      </c>
      <c r="R530">
        <v>2013</v>
      </c>
      <c r="S530" s="3">
        <v>41579</v>
      </c>
      <c r="T530" t="str">
        <f t="shared" si="8"/>
        <v>High Discount</v>
      </c>
    </row>
    <row r="531" spans="1:20" x14ac:dyDescent="0.25">
      <c r="A531" t="s">
        <v>370</v>
      </c>
      <c r="B531" t="s">
        <v>26</v>
      </c>
      <c r="C531" t="s">
        <v>27</v>
      </c>
      <c r="D531" t="s">
        <v>46</v>
      </c>
      <c r="E531" t="s">
        <v>47</v>
      </c>
      <c r="F531" t="s">
        <v>81</v>
      </c>
      <c r="G531" s="1">
        <v>200</v>
      </c>
      <c r="H531" s="1">
        <v>350</v>
      </c>
      <c r="I531">
        <v>3165</v>
      </c>
      <c r="J531" s="2">
        <v>0.11</v>
      </c>
      <c r="K531" s="1">
        <v>1107750</v>
      </c>
      <c r="L531" s="1">
        <v>121852.5</v>
      </c>
      <c r="M531" s="1">
        <v>985897.5</v>
      </c>
      <c r="N531" s="1">
        <v>633000</v>
      </c>
      <c r="O531" s="1">
        <v>352897.5</v>
      </c>
      <c r="P531">
        <v>1</v>
      </c>
      <c r="Q531">
        <v>1</v>
      </c>
      <c r="R531">
        <v>2014</v>
      </c>
      <c r="S531" s="3">
        <v>41640</v>
      </c>
      <c r="T531" t="str">
        <f t="shared" si="8"/>
        <v>High Discount</v>
      </c>
    </row>
    <row r="532" spans="1:20" x14ac:dyDescent="0.25">
      <c r="A532" t="s">
        <v>70</v>
      </c>
      <c r="B532" t="s">
        <v>35</v>
      </c>
      <c r="C532" t="s">
        <v>36</v>
      </c>
      <c r="D532" t="s">
        <v>22</v>
      </c>
      <c r="E532" t="s">
        <v>23</v>
      </c>
      <c r="F532" t="s">
        <v>81</v>
      </c>
      <c r="G532" s="1">
        <v>200</v>
      </c>
      <c r="H532" s="1">
        <v>350</v>
      </c>
      <c r="I532">
        <v>2629</v>
      </c>
      <c r="J532" s="2">
        <v>0.11</v>
      </c>
      <c r="K532" s="1">
        <v>920150</v>
      </c>
      <c r="L532" s="1">
        <v>101216.5</v>
      </c>
      <c r="M532" s="1">
        <v>818933.5</v>
      </c>
      <c r="N532" s="1">
        <v>525800</v>
      </c>
      <c r="O532" s="1">
        <v>293133.5</v>
      </c>
      <c r="P532">
        <v>1</v>
      </c>
      <c r="Q532">
        <v>1</v>
      </c>
      <c r="R532">
        <v>2014</v>
      </c>
      <c r="S532" s="3">
        <v>41640</v>
      </c>
      <c r="T532" t="str">
        <f t="shared" si="8"/>
        <v>High Discount</v>
      </c>
    </row>
    <row r="533" spans="1:20" x14ac:dyDescent="0.25">
      <c r="A533" t="s">
        <v>371</v>
      </c>
      <c r="B533" t="s">
        <v>29</v>
      </c>
      <c r="C533" t="s">
        <v>30</v>
      </c>
      <c r="D533" t="s">
        <v>46</v>
      </c>
      <c r="E533" t="s">
        <v>47</v>
      </c>
      <c r="F533" t="s">
        <v>81</v>
      </c>
      <c r="G533" s="1">
        <v>200</v>
      </c>
      <c r="H533" s="1">
        <v>350</v>
      </c>
      <c r="I533">
        <v>1433</v>
      </c>
      <c r="J533" s="2">
        <v>0.11</v>
      </c>
      <c r="K533" s="1">
        <v>501550</v>
      </c>
      <c r="L533" s="1">
        <v>55170.5</v>
      </c>
      <c r="M533" s="1">
        <v>446379.5</v>
      </c>
      <c r="N533" s="1">
        <v>286600</v>
      </c>
      <c r="O533" s="1">
        <v>159779.5</v>
      </c>
      <c r="P533">
        <v>1</v>
      </c>
      <c r="Q533">
        <v>5</v>
      </c>
      <c r="R533">
        <v>2014</v>
      </c>
      <c r="S533" s="3">
        <v>41760</v>
      </c>
      <c r="T533" t="str">
        <f t="shared" si="8"/>
        <v>High Discount</v>
      </c>
    </row>
    <row r="534" spans="1:20" x14ac:dyDescent="0.25">
      <c r="A534" t="s">
        <v>372</v>
      </c>
      <c r="B534" t="s">
        <v>35</v>
      </c>
      <c r="C534" t="s">
        <v>36</v>
      </c>
      <c r="D534" t="s">
        <v>46</v>
      </c>
      <c r="E534" t="s">
        <v>47</v>
      </c>
      <c r="F534" t="s">
        <v>81</v>
      </c>
      <c r="G534" s="1">
        <v>200</v>
      </c>
      <c r="H534" s="1">
        <v>350</v>
      </c>
      <c r="I534">
        <v>947</v>
      </c>
      <c r="J534" s="2">
        <v>0.11</v>
      </c>
      <c r="K534" s="1">
        <v>331450</v>
      </c>
      <c r="L534" s="1">
        <v>36459.5</v>
      </c>
      <c r="M534" s="1">
        <v>294990.5</v>
      </c>
      <c r="N534" s="1">
        <v>189400</v>
      </c>
      <c r="O534" s="1">
        <v>105590.5</v>
      </c>
      <c r="P534">
        <v>1</v>
      </c>
      <c r="Q534">
        <v>9</v>
      </c>
      <c r="R534">
        <v>2013</v>
      </c>
      <c r="S534" s="3">
        <v>41518</v>
      </c>
      <c r="T534" t="str">
        <f t="shared" si="8"/>
        <v>High Discount</v>
      </c>
    </row>
    <row r="535" spans="1:20" x14ac:dyDescent="0.25">
      <c r="A535" t="s">
        <v>367</v>
      </c>
      <c r="B535" t="s">
        <v>35</v>
      </c>
      <c r="C535" t="s">
        <v>36</v>
      </c>
      <c r="D535" t="s">
        <v>22</v>
      </c>
      <c r="E535" t="s">
        <v>23</v>
      </c>
      <c r="F535" t="s">
        <v>81</v>
      </c>
      <c r="G535" s="1">
        <v>200</v>
      </c>
      <c r="H535" s="1">
        <v>350</v>
      </c>
      <c r="I535">
        <v>344</v>
      </c>
      <c r="J535" s="2">
        <v>0.11</v>
      </c>
      <c r="K535" s="1">
        <v>120400</v>
      </c>
      <c r="L535" s="1">
        <v>13244</v>
      </c>
      <c r="M535" s="1">
        <v>107156</v>
      </c>
      <c r="N535" s="1">
        <v>68800</v>
      </c>
      <c r="O535" s="1">
        <v>38356</v>
      </c>
      <c r="P535">
        <v>1</v>
      </c>
      <c r="Q535">
        <v>10</v>
      </c>
      <c r="R535">
        <v>2013</v>
      </c>
      <c r="S535" s="3">
        <v>41548</v>
      </c>
      <c r="T535" t="str">
        <f t="shared" si="8"/>
        <v>High Discount</v>
      </c>
    </row>
    <row r="536" spans="1:20" x14ac:dyDescent="0.25">
      <c r="A536" t="s">
        <v>360</v>
      </c>
      <c r="B536" t="s">
        <v>35</v>
      </c>
      <c r="C536" t="s">
        <v>36</v>
      </c>
      <c r="D536" t="s">
        <v>31</v>
      </c>
      <c r="E536" t="s">
        <v>32</v>
      </c>
      <c r="F536" t="s">
        <v>81</v>
      </c>
      <c r="G536" s="1">
        <v>200</v>
      </c>
      <c r="H536" s="1">
        <v>350</v>
      </c>
      <c r="I536">
        <v>2157</v>
      </c>
      <c r="J536" s="2">
        <v>0.11</v>
      </c>
      <c r="K536" s="1">
        <v>754950</v>
      </c>
      <c r="L536" s="1">
        <v>83044.5</v>
      </c>
      <c r="M536" s="1">
        <v>671905.5</v>
      </c>
      <c r="N536" s="1">
        <v>431400</v>
      </c>
      <c r="O536" s="1">
        <v>240505.5</v>
      </c>
      <c r="P536">
        <v>1</v>
      </c>
      <c r="Q536">
        <v>12</v>
      </c>
      <c r="R536">
        <v>2014</v>
      </c>
      <c r="S536" s="3">
        <v>41974</v>
      </c>
      <c r="T536" t="str">
        <f t="shared" si="8"/>
        <v>High Discount</v>
      </c>
    </row>
    <row r="537" spans="1:20" x14ac:dyDescent="0.25">
      <c r="A537" t="s">
        <v>175</v>
      </c>
      <c r="B537" t="s">
        <v>54</v>
      </c>
      <c r="C537" t="s">
        <v>55</v>
      </c>
      <c r="D537" t="s">
        <v>22</v>
      </c>
      <c r="E537" t="s">
        <v>23</v>
      </c>
      <c r="F537" t="s">
        <v>57</v>
      </c>
      <c r="G537" s="1">
        <v>10</v>
      </c>
      <c r="H537" s="1">
        <v>20</v>
      </c>
      <c r="I537">
        <v>380</v>
      </c>
      <c r="J537" s="2">
        <v>0.11000000000000001</v>
      </c>
      <c r="K537" s="1">
        <v>7600</v>
      </c>
      <c r="L537" s="1">
        <v>836.00000000000011</v>
      </c>
      <c r="M537" s="1">
        <v>6764</v>
      </c>
      <c r="N537" s="1">
        <v>3800</v>
      </c>
      <c r="O537" s="1">
        <v>2964</v>
      </c>
      <c r="P537">
        <v>1</v>
      </c>
      <c r="Q537">
        <v>9</v>
      </c>
      <c r="R537">
        <v>2013</v>
      </c>
      <c r="S537" s="3">
        <v>41518</v>
      </c>
      <c r="T537" t="str">
        <f t="shared" si="8"/>
        <v>High Discount</v>
      </c>
    </row>
    <row r="538" spans="1:20" x14ac:dyDescent="0.25">
      <c r="A538" t="s">
        <v>241</v>
      </c>
      <c r="B538" t="s">
        <v>35</v>
      </c>
      <c r="C538" t="s">
        <v>36</v>
      </c>
      <c r="D538" t="s">
        <v>22</v>
      </c>
      <c r="E538" t="s">
        <v>23</v>
      </c>
      <c r="F538" t="s">
        <v>24</v>
      </c>
      <c r="G538" s="1">
        <v>3</v>
      </c>
      <c r="H538" s="1">
        <v>20</v>
      </c>
      <c r="I538">
        <v>886</v>
      </c>
      <c r="J538" s="2">
        <v>0.12</v>
      </c>
      <c r="K538" s="1">
        <v>17720</v>
      </c>
      <c r="L538" s="1">
        <v>2126.4</v>
      </c>
      <c r="M538" s="1">
        <v>15593.6</v>
      </c>
      <c r="N538" s="1">
        <v>2658</v>
      </c>
      <c r="O538" s="1">
        <v>12935.6</v>
      </c>
      <c r="P538">
        <v>1</v>
      </c>
      <c r="Q538">
        <v>6</v>
      </c>
      <c r="R538">
        <v>2014</v>
      </c>
      <c r="S538" s="3">
        <v>41791</v>
      </c>
      <c r="T538" t="str">
        <f t="shared" si="8"/>
        <v>High Discount</v>
      </c>
    </row>
    <row r="539" spans="1:20" x14ac:dyDescent="0.25">
      <c r="A539" t="s">
        <v>373</v>
      </c>
      <c r="B539" t="s">
        <v>20</v>
      </c>
      <c r="C539" t="s">
        <v>21</v>
      </c>
      <c r="D539" t="s">
        <v>46</v>
      </c>
      <c r="E539" t="s">
        <v>47</v>
      </c>
      <c r="F539" t="s">
        <v>24</v>
      </c>
      <c r="G539" s="1">
        <v>3</v>
      </c>
      <c r="H539" s="1">
        <v>20</v>
      </c>
      <c r="I539">
        <v>2416</v>
      </c>
      <c r="J539" s="2">
        <v>0.12</v>
      </c>
      <c r="K539" s="1">
        <v>48320</v>
      </c>
      <c r="L539" s="1">
        <v>5798.4</v>
      </c>
      <c r="M539" s="1">
        <v>42521.599999999999</v>
      </c>
      <c r="N539" s="1">
        <v>7248</v>
      </c>
      <c r="O539" s="1">
        <v>35273.599999999999</v>
      </c>
      <c r="P539">
        <v>1</v>
      </c>
      <c r="Q539">
        <v>9</v>
      </c>
      <c r="R539">
        <v>2013</v>
      </c>
      <c r="S539" s="3">
        <v>41518</v>
      </c>
      <c r="T539" t="str">
        <f t="shared" si="8"/>
        <v>High Discount</v>
      </c>
    </row>
    <row r="540" spans="1:20" x14ac:dyDescent="0.25">
      <c r="A540" t="s">
        <v>374</v>
      </c>
      <c r="B540" t="s">
        <v>35</v>
      </c>
      <c r="C540" t="s">
        <v>36</v>
      </c>
      <c r="D540" t="s">
        <v>46</v>
      </c>
      <c r="E540" t="s">
        <v>47</v>
      </c>
      <c r="F540" t="s">
        <v>24</v>
      </c>
      <c r="G540" s="1">
        <v>3</v>
      </c>
      <c r="H540" s="1">
        <v>20</v>
      </c>
      <c r="I540">
        <v>2156</v>
      </c>
      <c r="J540" s="2">
        <v>0.12</v>
      </c>
      <c r="K540" s="1">
        <v>43120</v>
      </c>
      <c r="L540" s="1">
        <v>5174.3999999999996</v>
      </c>
      <c r="M540" s="1">
        <v>37945.599999999999</v>
      </c>
      <c r="N540" s="1">
        <v>6468</v>
      </c>
      <c r="O540" s="1">
        <v>31477.599999999999</v>
      </c>
      <c r="P540">
        <v>1</v>
      </c>
      <c r="Q540">
        <v>10</v>
      </c>
      <c r="R540">
        <v>2014</v>
      </c>
      <c r="S540" s="3">
        <v>41913</v>
      </c>
      <c r="T540" t="str">
        <f t="shared" si="8"/>
        <v>High Discount</v>
      </c>
    </row>
    <row r="541" spans="1:20" x14ac:dyDescent="0.25">
      <c r="A541" t="s">
        <v>375</v>
      </c>
      <c r="B541" t="s">
        <v>20</v>
      </c>
      <c r="C541" t="s">
        <v>21</v>
      </c>
      <c r="D541" t="s">
        <v>31</v>
      </c>
      <c r="E541" t="s">
        <v>32</v>
      </c>
      <c r="F541" t="s">
        <v>24</v>
      </c>
      <c r="G541" s="1">
        <v>3</v>
      </c>
      <c r="H541" s="1">
        <v>20</v>
      </c>
      <c r="I541">
        <v>2689</v>
      </c>
      <c r="J541" s="2">
        <v>0.12</v>
      </c>
      <c r="K541" s="1">
        <v>53780</v>
      </c>
      <c r="L541" s="1">
        <v>6453.5999999999995</v>
      </c>
      <c r="M541" s="1">
        <v>47326.400000000001</v>
      </c>
      <c r="N541" s="1">
        <v>8067</v>
      </c>
      <c r="O541" s="1">
        <v>39259.4</v>
      </c>
      <c r="P541">
        <v>1</v>
      </c>
      <c r="Q541">
        <v>11</v>
      </c>
      <c r="R541">
        <v>2014</v>
      </c>
      <c r="S541" s="3">
        <v>41944</v>
      </c>
      <c r="T541" t="str">
        <f t="shared" si="8"/>
        <v>High Discount</v>
      </c>
    </row>
    <row r="542" spans="1:20" x14ac:dyDescent="0.25">
      <c r="A542" t="s">
        <v>376</v>
      </c>
      <c r="B542" t="s">
        <v>54</v>
      </c>
      <c r="C542" t="s">
        <v>55</v>
      </c>
      <c r="D542" t="s">
        <v>31</v>
      </c>
      <c r="E542" t="s">
        <v>32</v>
      </c>
      <c r="F542" t="s">
        <v>39</v>
      </c>
      <c r="G542" s="1">
        <v>5</v>
      </c>
      <c r="H542" s="1">
        <v>15</v>
      </c>
      <c r="I542">
        <v>677</v>
      </c>
      <c r="J542" s="2">
        <v>0.12</v>
      </c>
      <c r="K542" s="1">
        <v>10155</v>
      </c>
      <c r="L542" s="1">
        <v>1218.5999999999999</v>
      </c>
      <c r="M542" s="1">
        <v>8936.4</v>
      </c>
      <c r="N542" s="1">
        <v>3385</v>
      </c>
      <c r="O542" s="1">
        <v>5551.4</v>
      </c>
      <c r="P542">
        <v>1</v>
      </c>
      <c r="Q542">
        <v>3</v>
      </c>
      <c r="R542">
        <v>2014</v>
      </c>
      <c r="S542" s="3">
        <v>41699</v>
      </c>
      <c r="T542" t="str">
        <f t="shared" si="8"/>
        <v>High Discount</v>
      </c>
    </row>
    <row r="543" spans="1:20" x14ac:dyDescent="0.25">
      <c r="A543" t="s">
        <v>377</v>
      </c>
      <c r="B543" t="s">
        <v>29</v>
      </c>
      <c r="C543" t="s">
        <v>30</v>
      </c>
      <c r="D543" t="s">
        <v>49</v>
      </c>
      <c r="E543" t="s">
        <v>50</v>
      </c>
      <c r="F543" t="s">
        <v>39</v>
      </c>
      <c r="G543" s="1">
        <v>5</v>
      </c>
      <c r="H543" s="1">
        <v>15</v>
      </c>
      <c r="I543">
        <v>1773</v>
      </c>
      <c r="J543" s="2">
        <v>0.12</v>
      </c>
      <c r="K543" s="1">
        <v>26595</v>
      </c>
      <c r="L543" s="1">
        <v>3191.4</v>
      </c>
      <c r="M543" s="1">
        <v>23403.599999999999</v>
      </c>
      <c r="N543" s="1">
        <v>8865</v>
      </c>
      <c r="O543" s="1">
        <v>14538.599999999999</v>
      </c>
      <c r="P543">
        <v>1</v>
      </c>
      <c r="Q543">
        <v>4</v>
      </c>
      <c r="R543">
        <v>2014</v>
      </c>
      <c r="S543" s="3">
        <v>41730</v>
      </c>
      <c r="T543" t="str">
        <f t="shared" si="8"/>
        <v>High Discount</v>
      </c>
    </row>
    <row r="544" spans="1:20" x14ac:dyDescent="0.25">
      <c r="A544" t="s">
        <v>246</v>
      </c>
      <c r="B544" t="s">
        <v>35</v>
      </c>
      <c r="C544" t="s">
        <v>36</v>
      </c>
      <c r="D544" t="s">
        <v>22</v>
      </c>
      <c r="E544" t="s">
        <v>23</v>
      </c>
      <c r="F544" t="s">
        <v>39</v>
      </c>
      <c r="G544" s="1">
        <v>5</v>
      </c>
      <c r="H544" s="1">
        <v>15</v>
      </c>
      <c r="I544">
        <v>2420</v>
      </c>
      <c r="J544" s="2">
        <v>0.12</v>
      </c>
      <c r="K544" s="1">
        <v>36300</v>
      </c>
      <c r="L544" s="1">
        <v>4356</v>
      </c>
      <c r="M544" s="1">
        <v>31944</v>
      </c>
      <c r="N544" s="1">
        <v>12100</v>
      </c>
      <c r="O544" s="1">
        <v>19844</v>
      </c>
      <c r="P544">
        <v>1</v>
      </c>
      <c r="Q544">
        <v>9</v>
      </c>
      <c r="R544">
        <v>2014</v>
      </c>
      <c r="S544" s="3">
        <v>41883</v>
      </c>
      <c r="T544" t="str">
        <f t="shared" si="8"/>
        <v>High Discount</v>
      </c>
    </row>
    <row r="545" spans="1:20" x14ac:dyDescent="0.25">
      <c r="A545" t="s">
        <v>314</v>
      </c>
      <c r="B545" t="s">
        <v>20</v>
      </c>
      <c r="C545" t="s">
        <v>21</v>
      </c>
      <c r="D545" t="s">
        <v>22</v>
      </c>
      <c r="E545" t="s">
        <v>23</v>
      </c>
      <c r="F545" t="s">
        <v>39</v>
      </c>
      <c r="G545" s="1">
        <v>5</v>
      </c>
      <c r="H545" s="1">
        <v>15</v>
      </c>
      <c r="I545">
        <v>2734</v>
      </c>
      <c r="J545" s="2">
        <v>0.12</v>
      </c>
      <c r="K545" s="1">
        <v>41010</v>
      </c>
      <c r="L545" s="1">
        <v>4921.2</v>
      </c>
      <c r="M545" s="1">
        <v>36088.800000000003</v>
      </c>
      <c r="N545" s="1">
        <v>13670</v>
      </c>
      <c r="O545" s="1">
        <v>22418.800000000003</v>
      </c>
      <c r="P545">
        <v>1</v>
      </c>
      <c r="Q545">
        <v>10</v>
      </c>
      <c r="R545">
        <v>2014</v>
      </c>
      <c r="S545" s="3">
        <v>41913</v>
      </c>
      <c r="T545" t="str">
        <f t="shared" si="8"/>
        <v>High Discount</v>
      </c>
    </row>
    <row r="546" spans="1:20" x14ac:dyDescent="0.25">
      <c r="A546" t="s">
        <v>367</v>
      </c>
      <c r="B546" t="s">
        <v>35</v>
      </c>
      <c r="C546" t="s">
        <v>36</v>
      </c>
      <c r="D546" t="s">
        <v>22</v>
      </c>
      <c r="E546" t="s">
        <v>23</v>
      </c>
      <c r="F546" t="s">
        <v>39</v>
      </c>
      <c r="G546" s="1">
        <v>5</v>
      </c>
      <c r="H546" s="1">
        <v>15</v>
      </c>
      <c r="I546">
        <v>1715</v>
      </c>
      <c r="J546" s="2">
        <v>0.12</v>
      </c>
      <c r="K546" s="1">
        <v>25725</v>
      </c>
      <c r="L546" s="1">
        <v>3087</v>
      </c>
      <c r="M546" s="1">
        <v>22638</v>
      </c>
      <c r="N546" s="1">
        <v>8575</v>
      </c>
      <c r="O546" s="1">
        <v>14063</v>
      </c>
      <c r="P546">
        <v>1</v>
      </c>
      <c r="Q546">
        <v>10</v>
      </c>
      <c r="R546">
        <v>2013</v>
      </c>
      <c r="S546" s="3">
        <v>41548</v>
      </c>
      <c r="T546" t="str">
        <f t="shared" si="8"/>
        <v>High Discount</v>
      </c>
    </row>
    <row r="547" spans="1:20" x14ac:dyDescent="0.25">
      <c r="A547" t="s">
        <v>378</v>
      </c>
      <c r="B547" t="s">
        <v>29</v>
      </c>
      <c r="C547" t="s">
        <v>30</v>
      </c>
      <c r="D547" t="s">
        <v>49</v>
      </c>
      <c r="E547" t="s">
        <v>50</v>
      </c>
      <c r="F547" t="s">
        <v>39</v>
      </c>
      <c r="G547" s="1">
        <v>5</v>
      </c>
      <c r="H547" s="1">
        <v>15</v>
      </c>
      <c r="I547">
        <v>1186</v>
      </c>
      <c r="J547" s="2">
        <v>0.12</v>
      </c>
      <c r="K547" s="1">
        <v>17790</v>
      </c>
      <c r="L547" s="1">
        <v>2134.7999999999997</v>
      </c>
      <c r="M547" s="1">
        <v>15655.2</v>
      </c>
      <c r="N547" s="1">
        <v>5930</v>
      </c>
      <c r="O547" s="1">
        <v>9725.2000000000007</v>
      </c>
      <c r="P547">
        <v>1</v>
      </c>
      <c r="Q547">
        <v>12</v>
      </c>
      <c r="R547">
        <v>2013</v>
      </c>
      <c r="S547" s="3">
        <v>41609</v>
      </c>
      <c r="T547" t="str">
        <f t="shared" si="8"/>
        <v>High Discount</v>
      </c>
    </row>
    <row r="548" spans="1:20" x14ac:dyDescent="0.25">
      <c r="A548" t="s">
        <v>379</v>
      </c>
      <c r="B548" t="s">
        <v>54</v>
      </c>
      <c r="C548" t="s">
        <v>55</v>
      </c>
      <c r="D548" t="s">
        <v>49</v>
      </c>
      <c r="E548" t="s">
        <v>50</v>
      </c>
      <c r="F548" t="s">
        <v>57</v>
      </c>
      <c r="G548" s="1">
        <v>10</v>
      </c>
      <c r="H548" s="1">
        <v>20</v>
      </c>
      <c r="I548">
        <v>3495</v>
      </c>
      <c r="J548" s="2">
        <v>0.12</v>
      </c>
      <c r="K548" s="1">
        <v>69900</v>
      </c>
      <c r="L548" s="1">
        <v>8388</v>
      </c>
      <c r="M548" s="1">
        <v>61512</v>
      </c>
      <c r="N548" s="1">
        <v>34950</v>
      </c>
      <c r="O548" s="1">
        <v>26562</v>
      </c>
      <c r="P548">
        <v>1</v>
      </c>
      <c r="Q548">
        <v>1</v>
      </c>
      <c r="R548">
        <v>2014</v>
      </c>
      <c r="S548" s="3">
        <v>41640</v>
      </c>
      <c r="T548" t="str">
        <f t="shared" si="8"/>
        <v>High Discount</v>
      </c>
    </row>
    <row r="549" spans="1:20" x14ac:dyDescent="0.25">
      <c r="A549" t="s">
        <v>241</v>
      </c>
      <c r="B549" t="s">
        <v>35</v>
      </c>
      <c r="C549" t="s">
        <v>36</v>
      </c>
      <c r="D549" t="s">
        <v>22</v>
      </c>
      <c r="E549" t="s">
        <v>23</v>
      </c>
      <c r="F549" t="s">
        <v>57</v>
      </c>
      <c r="G549" s="1">
        <v>10</v>
      </c>
      <c r="H549" s="1">
        <v>20</v>
      </c>
      <c r="I549">
        <v>886</v>
      </c>
      <c r="J549" s="2">
        <v>0.12</v>
      </c>
      <c r="K549" s="1">
        <v>17720</v>
      </c>
      <c r="L549" s="1">
        <v>2126.4</v>
      </c>
      <c r="M549" s="1">
        <v>15593.6</v>
      </c>
      <c r="N549" s="1">
        <v>8860</v>
      </c>
      <c r="O549" s="1">
        <v>6733.6</v>
      </c>
      <c r="P549">
        <v>1</v>
      </c>
      <c r="Q549">
        <v>6</v>
      </c>
      <c r="R549">
        <v>2014</v>
      </c>
      <c r="S549" s="3">
        <v>41791</v>
      </c>
      <c r="T549" t="str">
        <f t="shared" si="8"/>
        <v>High Discount</v>
      </c>
    </row>
    <row r="550" spans="1:20" x14ac:dyDescent="0.25">
      <c r="A550" t="s">
        <v>374</v>
      </c>
      <c r="B550" t="s">
        <v>35</v>
      </c>
      <c r="C550" t="s">
        <v>36</v>
      </c>
      <c r="D550" t="s">
        <v>46</v>
      </c>
      <c r="E550" t="s">
        <v>47</v>
      </c>
      <c r="F550" t="s">
        <v>57</v>
      </c>
      <c r="G550" s="1">
        <v>10</v>
      </c>
      <c r="H550" s="1">
        <v>20</v>
      </c>
      <c r="I550">
        <v>2156</v>
      </c>
      <c r="J550" s="2">
        <v>0.12</v>
      </c>
      <c r="K550" s="1">
        <v>43120</v>
      </c>
      <c r="L550" s="1">
        <v>5174.3999999999996</v>
      </c>
      <c r="M550" s="1">
        <v>37945.599999999999</v>
      </c>
      <c r="N550" s="1">
        <v>21560</v>
      </c>
      <c r="O550" s="1">
        <v>16385.599999999999</v>
      </c>
      <c r="P550">
        <v>1</v>
      </c>
      <c r="Q550">
        <v>10</v>
      </c>
      <c r="R550">
        <v>2014</v>
      </c>
      <c r="S550" s="3">
        <v>41913</v>
      </c>
      <c r="T550" t="str">
        <f t="shared" si="8"/>
        <v>High Discount</v>
      </c>
    </row>
    <row r="551" spans="1:20" x14ac:dyDescent="0.25">
      <c r="A551" t="s">
        <v>99</v>
      </c>
      <c r="B551" t="s">
        <v>35</v>
      </c>
      <c r="C551" t="s">
        <v>36</v>
      </c>
      <c r="D551" t="s">
        <v>22</v>
      </c>
      <c r="E551" t="s">
        <v>23</v>
      </c>
      <c r="F551" t="s">
        <v>57</v>
      </c>
      <c r="G551" s="1">
        <v>10</v>
      </c>
      <c r="H551" s="1">
        <v>20</v>
      </c>
      <c r="I551">
        <v>905</v>
      </c>
      <c r="J551" s="2">
        <v>0.12</v>
      </c>
      <c r="K551" s="1">
        <v>18100</v>
      </c>
      <c r="L551" s="1">
        <v>2172</v>
      </c>
      <c r="M551" s="1">
        <v>15928</v>
      </c>
      <c r="N551" s="1">
        <v>9050</v>
      </c>
      <c r="O551" s="1">
        <v>6878</v>
      </c>
      <c r="P551">
        <v>1</v>
      </c>
      <c r="Q551">
        <v>10</v>
      </c>
      <c r="R551">
        <v>2014</v>
      </c>
      <c r="S551" s="3">
        <v>41913</v>
      </c>
      <c r="T551" t="str">
        <f t="shared" si="8"/>
        <v>High Discount</v>
      </c>
    </row>
    <row r="552" spans="1:20" x14ac:dyDescent="0.25">
      <c r="A552" t="s">
        <v>367</v>
      </c>
      <c r="B552" t="s">
        <v>35</v>
      </c>
      <c r="C552" t="s">
        <v>36</v>
      </c>
      <c r="D552" t="s">
        <v>22</v>
      </c>
      <c r="E552" t="s">
        <v>23</v>
      </c>
      <c r="F552" t="s">
        <v>57</v>
      </c>
      <c r="G552" s="1">
        <v>10</v>
      </c>
      <c r="H552" s="1">
        <v>20</v>
      </c>
      <c r="I552">
        <v>1715</v>
      </c>
      <c r="J552" s="2">
        <v>0.12</v>
      </c>
      <c r="K552" s="1">
        <v>34300</v>
      </c>
      <c r="L552" s="1">
        <v>4116</v>
      </c>
      <c r="M552" s="1">
        <v>30184</v>
      </c>
      <c r="N552" s="1">
        <v>17150</v>
      </c>
      <c r="O552" s="1">
        <v>13034</v>
      </c>
      <c r="P552">
        <v>1</v>
      </c>
      <c r="Q552">
        <v>10</v>
      </c>
      <c r="R552">
        <v>2013</v>
      </c>
      <c r="S552" s="3">
        <v>41548</v>
      </c>
      <c r="T552" t="str">
        <f t="shared" si="8"/>
        <v>High Discount</v>
      </c>
    </row>
    <row r="553" spans="1:20" x14ac:dyDescent="0.25">
      <c r="A553" t="s">
        <v>89</v>
      </c>
      <c r="B553" t="s">
        <v>29</v>
      </c>
      <c r="C553" t="s">
        <v>30</v>
      </c>
      <c r="D553" t="s">
        <v>22</v>
      </c>
      <c r="E553" t="s">
        <v>23</v>
      </c>
      <c r="F553" t="s">
        <v>57</v>
      </c>
      <c r="G553" s="1">
        <v>10</v>
      </c>
      <c r="H553" s="1">
        <v>20</v>
      </c>
      <c r="I553">
        <v>1594</v>
      </c>
      <c r="J553" s="2">
        <v>0.12</v>
      </c>
      <c r="K553" s="1">
        <v>31880</v>
      </c>
      <c r="L553" s="1">
        <v>3825.6</v>
      </c>
      <c r="M553" s="1">
        <v>28054.400000000001</v>
      </c>
      <c r="N553" s="1">
        <v>15940</v>
      </c>
      <c r="O553" s="1">
        <v>12114.400000000001</v>
      </c>
      <c r="P553">
        <v>1</v>
      </c>
      <c r="Q553">
        <v>11</v>
      </c>
      <c r="R553">
        <v>2014</v>
      </c>
      <c r="S553" s="3">
        <v>41944</v>
      </c>
      <c r="T553" t="str">
        <f t="shared" si="8"/>
        <v>High Discount</v>
      </c>
    </row>
    <row r="554" spans="1:20" x14ac:dyDescent="0.25">
      <c r="A554" t="s">
        <v>380</v>
      </c>
      <c r="B554" t="s">
        <v>26</v>
      </c>
      <c r="C554" t="s">
        <v>27</v>
      </c>
      <c r="D554" t="s">
        <v>49</v>
      </c>
      <c r="E554" t="s">
        <v>50</v>
      </c>
      <c r="F554" t="s">
        <v>57</v>
      </c>
      <c r="G554" s="1">
        <v>10</v>
      </c>
      <c r="H554" s="1">
        <v>20</v>
      </c>
      <c r="I554">
        <v>1359</v>
      </c>
      <c r="J554" s="2">
        <v>0.12</v>
      </c>
      <c r="K554" s="1">
        <v>27180</v>
      </c>
      <c r="L554" s="1">
        <v>3261.6</v>
      </c>
      <c r="M554" s="1">
        <v>23918.400000000001</v>
      </c>
      <c r="N554" s="1">
        <v>13590</v>
      </c>
      <c r="O554" s="1">
        <v>10328.400000000001</v>
      </c>
      <c r="P554">
        <v>1</v>
      </c>
      <c r="Q554">
        <v>11</v>
      </c>
      <c r="R554">
        <v>2014</v>
      </c>
      <c r="S554" s="3">
        <v>41944</v>
      </c>
      <c r="T554" t="str">
        <f t="shared" si="8"/>
        <v>High Discount</v>
      </c>
    </row>
    <row r="555" spans="1:20" x14ac:dyDescent="0.25">
      <c r="A555" t="s">
        <v>381</v>
      </c>
      <c r="B555" t="s">
        <v>35</v>
      </c>
      <c r="C555" t="s">
        <v>36</v>
      </c>
      <c r="D555" t="s">
        <v>49</v>
      </c>
      <c r="E555" t="s">
        <v>50</v>
      </c>
      <c r="F555" t="s">
        <v>57</v>
      </c>
      <c r="G555" s="1">
        <v>10</v>
      </c>
      <c r="H555" s="1">
        <v>20</v>
      </c>
      <c r="I555">
        <v>2150</v>
      </c>
      <c r="J555" s="2">
        <v>0.12</v>
      </c>
      <c r="K555" s="1">
        <v>43000</v>
      </c>
      <c r="L555" s="1">
        <v>5160</v>
      </c>
      <c r="M555" s="1">
        <v>37840</v>
      </c>
      <c r="N555" s="1">
        <v>21500</v>
      </c>
      <c r="O555" s="1">
        <v>16340</v>
      </c>
      <c r="P555">
        <v>1</v>
      </c>
      <c r="Q555">
        <v>11</v>
      </c>
      <c r="R555">
        <v>2014</v>
      </c>
      <c r="S555" s="3">
        <v>41944</v>
      </c>
      <c r="T555" t="str">
        <f t="shared" si="8"/>
        <v>High Discount</v>
      </c>
    </row>
    <row r="556" spans="1:20" x14ac:dyDescent="0.25">
      <c r="A556" t="s">
        <v>251</v>
      </c>
      <c r="B556" t="s">
        <v>35</v>
      </c>
      <c r="C556" t="s">
        <v>36</v>
      </c>
      <c r="D556" t="s">
        <v>22</v>
      </c>
      <c r="E556" t="s">
        <v>23</v>
      </c>
      <c r="F556" t="s">
        <v>57</v>
      </c>
      <c r="G556" s="1">
        <v>10</v>
      </c>
      <c r="H556" s="1">
        <v>20</v>
      </c>
      <c r="I556">
        <v>1197</v>
      </c>
      <c r="J556" s="2">
        <v>0.12</v>
      </c>
      <c r="K556" s="1">
        <v>23940</v>
      </c>
      <c r="L556" s="1">
        <v>2872.7999999999997</v>
      </c>
      <c r="M556" s="1">
        <v>21067.200000000001</v>
      </c>
      <c r="N556" s="1">
        <v>11970</v>
      </c>
      <c r="O556" s="1">
        <v>9097.2000000000007</v>
      </c>
      <c r="P556">
        <v>1</v>
      </c>
      <c r="Q556">
        <v>11</v>
      </c>
      <c r="R556">
        <v>2014</v>
      </c>
      <c r="S556" s="3">
        <v>41944</v>
      </c>
      <c r="T556" t="str">
        <f t="shared" si="8"/>
        <v>High Discount</v>
      </c>
    </row>
    <row r="557" spans="1:20" x14ac:dyDescent="0.25">
      <c r="A557" t="s">
        <v>382</v>
      </c>
      <c r="B557" t="s">
        <v>35</v>
      </c>
      <c r="C557" t="s">
        <v>36</v>
      </c>
      <c r="D557" t="s">
        <v>31</v>
      </c>
      <c r="E557" t="s">
        <v>32</v>
      </c>
      <c r="F557" t="s">
        <v>57</v>
      </c>
      <c r="G557" s="1">
        <v>10</v>
      </c>
      <c r="H557" s="1">
        <v>20</v>
      </c>
      <c r="I557">
        <v>380</v>
      </c>
      <c r="J557" s="2">
        <v>0.12</v>
      </c>
      <c r="K557" s="1">
        <v>7600</v>
      </c>
      <c r="L557" s="1">
        <v>912</v>
      </c>
      <c r="M557" s="1">
        <v>6688</v>
      </c>
      <c r="N557" s="1">
        <v>3800</v>
      </c>
      <c r="O557" s="1">
        <v>2888</v>
      </c>
      <c r="P557">
        <v>1</v>
      </c>
      <c r="Q557">
        <v>12</v>
      </c>
      <c r="R557">
        <v>2013</v>
      </c>
      <c r="S557" s="3">
        <v>41609</v>
      </c>
      <c r="T557" t="str">
        <f t="shared" si="8"/>
        <v>High Discount</v>
      </c>
    </row>
    <row r="558" spans="1:20" x14ac:dyDescent="0.25">
      <c r="A558" t="s">
        <v>283</v>
      </c>
      <c r="B558" t="s">
        <v>35</v>
      </c>
      <c r="C558" t="s">
        <v>36</v>
      </c>
      <c r="D558" t="s">
        <v>22</v>
      </c>
      <c r="E558" t="s">
        <v>23</v>
      </c>
      <c r="F558" t="s">
        <v>57</v>
      </c>
      <c r="G558" s="1">
        <v>10</v>
      </c>
      <c r="H558" s="1">
        <v>20</v>
      </c>
      <c r="I558">
        <v>1233</v>
      </c>
      <c r="J558" s="2">
        <v>0.12</v>
      </c>
      <c r="K558" s="1">
        <v>24660</v>
      </c>
      <c r="L558" s="1">
        <v>2959.2</v>
      </c>
      <c r="M558" s="1">
        <v>21700.799999999999</v>
      </c>
      <c r="N558" s="1">
        <v>12330</v>
      </c>
      <c r="O558" s="1">
        <v>9370.7999999999993</v>
      </c>
      <c r="P558">
        <v>1</v>
      </c>
      <c r="Q558">
        <v>12</v>
      </c>
      <c r="R558">
        <v>2014</v>
      </c>
      <c r="S558" s="3">
        <v>41974</v>
      </c>
      <c r="T558" t="str">
        <f t="shared" si="8"/>
        <v>High Discount</v>
      </c>
    </row>
    <row r="559" spans="1:20" x14ac:dyDescent="0.25">
      <c r="A559" t="s">
        <v>199</v>
      </c>
      <c r="B559" t="s">
        <v>35</v>
      </c>
      <c r="C559" t="s">
        <v>36</v>
      </c>
      <c r="D559" t="s">
        <v>22</v>
      </c>
      <c r="E559" t="s">
        <v>23</v>
      </c>
      <c r="F559" t="s">
        <v>71</v>
      </c>
      <c r="G559" s="1">
        <v>120</v>
      </c>
      <c r="H559" s="1">
        <v>180</v>
      </c>
      <c r="I559">
        <v>1395</v>
      </c>
      <c r="J559" s="2">
        <v>0.12</v>
      </c>
      <c r="K559" s="1">
        <v>251100</v>
      </c>
      <c r="L559" s="1">
        <v>30132</v>
      </c>
      <c r="M559" s="1">
        <v>220968</v>
      </c>
      <c r="N559" s="1">
        <v>167400</v>
      </c>
      <c r="O559" s="1">
        <v>53568</v>
      </c>
      <c r="P559">
        <v>1</v>
      </c>
      <c r="Q559">
        <v>7</v>
      </c>
      <c r="R559">
        <v>2014</v>
      </c>
      <c r="S559" s="3">
        <v>41821</v>
      </c>
      <c r="T559" t="str">
        <f t="shared" si="8"/>
        <v>High Discount</v>
      </c>
    </row>
    <row r="560" spans="1:20" x14ac:dyDescent="0.25">
      <c r="A560" t="s">
        <v>65</v>
      </c>
      <c r="B560" t="s">
        <v>54</v>
      </c>
      <c r="C560" t="s">
        <v>55</v>
      </c>
      <c r="D560" t="s">
        <v>22</v>
      </c>
      <c r="E560" t="s">
        <v>23</v>
      </c>
      <c r="F560" t="s">
        <v>71</v>
      </c>
      <c r="G560" s="1">
        <v>120</v>
      </c>
      <c r="H560" s="1">
        <v>180</v>
      </c>
      <c r="I560">
        <v>986</v>
      </c>
      <c r="J560" s="2">
        <v>0.12</v>
      </c>
      <c r="K560" s="1">
        <v>177480</v>
      </c>
      <c r="L560" s="1">
        <v>21297.599999999999</v>
      </c>
      <c r="M560" s="1">
        <v>156182.39999999999</v>
      </c>
      <c r="N560" s="1">
        <v>118320</v>
      </c>
      <c r="O560" s="1">
        <v>37862.399999999994</v>
      </c>
      <c r="P560">
        <v>1</v>
      </c>
      <c r="Q560">
        <v>10</v>
      </c>
      <c r="R560">
        <v>2014</v>
      </c>
      <c r="S560" s="3">
        <v>41913</v>
      </c>
      <c r="T560" t="str">
        <f t="shared" si="8"/>
        <v>High Discount</v>
      </c>
    </row>
    <row r="561" spans="1:20" x14ac:dyDescent="0.25">
      <c r="A561" t="s">
        <v>99</v>
      </c>
      <c r="B561" t="s">
        <v>35</v>
      </c>
      <c r="C561" t="s">
        <v>36</v>
      </c>
      <c r="D561" t="s">
        <v>22</v>
      </c>
      <c r="E561" t="s">
        <v>23</v>
      </c>
      <c r="F561" t="s">
        <v>71</v>
      </c>
      <c r="G561" s="1">
        <v>120</v>
      </c>
      <c r="H561" s="1">
        <v>180</v>
      </c>
      <c r="I561">
        <v>905</v>
      </c>
      <c r="J561" s="2">
        <v>0.12</v>
      </c>
      <c r="K561" s="1">
        <v>162900</v>
      </c>
      <c r="L561" s="1">
        <v>19548</v>
      </c>
      <c r="M561" s="1">
        <v>143352</v>
      </c>
      <c r="N561" s="1">
        <v>108600</v>
      </c>
      <c r="O561" s="1">
        <v>34752</v>
      </c>
      <c r="P561">
        <v>1</v>
      </c>
      <c r="Q561">
        <v>10</v>
      </c>
      <c r="R561">
        <v>2014</v>
      </c>
      <c r="S561" s="3">
        <v>41913</v>
      </c>
      <c r="T561" t="str">
        <f t="shared" si="8"/>
        <v>High Discount</v>
      </c>
    </row>
    <row r="562" spans="1:20" x14ac:dyDescent="0.25">
      <c r="A562" t="s">
        <v>383</v>
      </c>
      <c r="B562" t="s">
        <v>20</v>
      </c>
      <c r="C562" t="s">
        <v>21</v>
      </c>
      <c r="D562" t="s">
        <v>41</v>
      </c>
      <c r="E562" t="s">
        <v>42</v>
      </c>
      <c r="F562" t="s">
        <v>76</v>
      </c>
      <c r="G562" s="1">
        <v>250</v>
      </c>
      <c r="H562" s="1">
        <v>300</v>
      </c>
      <c r="I562">
        <v>2109</v>
      </c>
      <c r="J562" s="2">
        <v>0.12</v>
      </c>
      <c r="K562" s="1">
        <v>632700</v>
      </c>
      <c r="L562" s="1">
        <v>75924</v>
      </c>
      <c r="M562" s="1">
        <v>556776</v>
      </c>
      <c r="N562" s="1">
        <v>527250</v>
      </c>
      <c r="O562" s="1">
        <v>29526</v>
      </c>
      <c r="P562">
        <v>1</v>
      </c>
      <c r="Q562">
        <v>5</v>
      </c>
      <c r="R562">
        <v>2014</v>
      </c>
      <c r="S562" s="3">
        <v>41760</v>
      </c>
      <c r="T562" t="str">
        <f t="shared" si="8"/>
        <v>High Discount</v>
      </c>
    </row>
    <row r="563" spans="1:20" x14ac:dyDescent="0.25">
      <c r="A563" t="s">
        <v>384</v>
      </c>
      <c r="B563" t="s">
        <v>29</v>
      </c>
      <c r="C563" t="s">
        <v>30</v>
      </c>
      <c r="D563" t="s">
        <v>31</v>
      </c>
      <c r="E563" t="s">
        <v>32</v>
      </c>
      <c r="F563" t="s">
        <v>76</v>
      </c>
      <c r="G563" s="1">
        <v>250</v>
      </c>
      <c r="H563" s="1">
        <v>300</v>
      </c>
      <c r="I563">
        <v>3874</v>
      </c>
      <c r="J563" s="2">
        <v>0.12001548786783686</v>
      </c>
      <c r="K563" s="1">
        <v>1162200</v>
      </c>
      <c r="L563" s="1">
        <v>139482</v>
      </c>
      <c r="M563" s="1">
        <v>1022718</v>
      </c>
      <c r="N563" s="1">
        <v>968500</v>
      </c>
      <c r="O563" s="1">
        <v>54218</v>
      </c>
      <c r="P563">
        <v>1</v>
      </c>
      <c r="Q563">
        <v>7</v>
      </c>
      <c r="R563">
        <v>2014</v>
      </c>
      <c r="S563" s="3">
        <v>41821</v>
      </c>
      <c r="T563" t="str">
        <f t="shared" si="8"/>
        <v>Very High Discount</v>
      </c>
    </row>
    <row r="564" spans="1:20" x14ac:dyDescent="0.25">
      <c r="A564" t="s">
        <v>192</v>
      </c>
      <c r="B564" t="s">
        <v>20</v>
      </c>
      <c r="C564" t="s">
        <v>21</v>
      </c>
      <c r="D564" t="s">
        <v>22</v>
      </c>
      <c r="E564" t="s">
        <v>23</v>
      </c>
      <c r="F564" t="s">
        <v>76</v>
      </c>
      <c r="G564" s="1">
        <v>250</v>
      </c>
      <c r="H564" s="1">
        <v>300</v>
      </c>
      <c r="I564">
        <v>623</v>
      </c>
      <c r="J564" s="2">
        <v>0.12</v>
      </c>
      <c r="K564" s="1">
        <v>186900</v>
      </c>
      <c r="L564" s="1">
        <v>22428</v>
      </c>
      <c r="M564" s="1">
        <v>164472</v>
      </c>
      <c r="N564" s="1">
        <v>155750</v>
      </c>
      <c r="O564" s="1">
        <v>8722</v>
      </c>
      <c r="P564">
        <v>1</v>
      </c>
      <c r="Q564">
        <v>9</v>
      </c>
      <c r="R564">
        <v>2013</v>
      </c>
      <c r="S564" s="3">
        <v>41518</v>
      </c>
      <c r="T564" t="str">
        <f t="shared" si="8"/>
        <v>High Discount</v>
      </c>
    </row>
    <row r="565" spans="1:20" x14ac:dyDescent="0.25">
      <c r="A565" t="s">
        <v>65</v>
      </c>
      <c r="B565" t="s">
        <v>54</v>
      </c>
      <c r="C565" t="s">
        <v>55</v>
      </c>
      <c r="D565" t="s">
        <v>22</v>
      </c>
      <c r="E565" t="s">
        <v>23</v>
      </c>
      <c r="F565" t="s">
        <v>76</v>
      </c>
      <c r="G565" s="1">
        <v>250</v>
      </c>
      <c r="H565" s="1">
        <v>300</v>
      </c>
      <c r="I565">
        <v>986</v>
      </c>
      <c r="J565" s="2">
        <v>0.12</v>
      </c>
      <c r="K565" s="1">
        <v>295800</v>
      </c>
      <c r="L565" s="1">
        <v>35496</v>
      </c>
      <c r="M565" s="1">
        <v>260304</v>
      </c>
      <c r="N565" s="1">
        <v>246500</v>
      </c>
      <c r="O565" s="1">
        <v>13804</v>
      </c>
      <c r="P565">
        <v>1</v>
      </c>
      <c r="Q565">
        <v>10</v>
      </c>
      <c r="R565">
        <v>2014</v>
      </c>
      <c r="S565" s="3">
        <v>41913</v>
      </c>
      <c r="T565" t="str">
        <f t="shared" si="8"/>
        <v>High Discount</v>
      </c>
    </row>
    <row r="566" spans="1:20" x14ac:dyDescent="0.25">
      <c r="A566" t="s">
        <v>385</v>
      </c>
      <c r="B566" t="s">
        <v>54</v>
      </c>
      <c r="C566" t="s">
        <v>55</v>
      </c>
      <c r="D566" t="s">
        <v>46</v>
      </c>
      <c r="E566" t="s">
        <v>47</v>
      </c>
      <c r="F566" t="s">
        <v>76</v>
      </c>
      <c r="G566" s="1">
        <v>250</v>
      </c>
      <c r="H566" s="1">
        <v>300</v>
      </c>
      <c r="I566">
        <v>2387</v>
      </c>
      <c r="J566" s="2">
        <v>0.12</v>
      </c>
      <c r="K566" s="1">
        <v>716100</v>
      </c>
      <c r="L566" s="1">
        <v>85932</v>
      </c>
      <c r="M566" s="1">
        <v>630168</v>
      </c>
      <c r="N566" s="1">
        <v>596750</v>
      </c>
      <c r="O566" s="1">
        <v>33418</v>
      </c>
      <c r="P566">
        <v>1</v>
      </c>
      <c r="Q566">
        <v>11</v>
      </c>
      <c r="R566">
        <v>2014</v>
      </c>
      <c r="S566" s="3">
        <v>41944</v>
      </c>
      <c r="T566" t="str">
        <f t="shared" si="8"/>
        <v>High Discount</v>
      </c>
    </row>
    <row r="567" spans="1:20" x14ac:dyDescent="0.25">
      <c r="A567" t="s">
        <v>283</v>
      </c>
      <c r="B567" t="s">
        <v>35</v>
      </c>
      <c r="C567" t="s">
        <v>36</v>
      </c>
      <c r="D567" t="s">
        <v>22</v>
      </c>
      <c r="E567" t="s">
        <v>23</v>
      </c>
      <c r="F567" t="s">
        <v>76</v>
      </c>
      <c r="G567" s="1">
        <v>250</v>
      </c>
      <c r="H567" s="1">
        <v>300</v>
      </c>
      <c r="I567">
        <v>1233</v>
      </c>
      <c r="J567" s="2">
        <v>0.12</v>
      </c>
      <c r="K567" s="1">
        <v>369900</v>
      </c>
      <c r="L567" s="1">
        <v>44388</v>
      </c>
      <c r="M567" s="1">
        <v>325512</v>
      </c>
      <c r="N567" s="1">
        <v>308250</v>
      </c>
      <c r="O567" s="1">
        <v>17262</v>
      </c>
      <c r="P567">
        <v>1</v>
      </c>
      <c r="Q567">
        <v>12</v>
      </c>
      <c r="R567">
        <v>2014</v>
      </c>
      <c r="S567" s="3">
        <v>41974</v>
      </c>
      <c r="T567" t="str">
        <f t="shared" si="8"/>
        <v>High Discount</v>
      </c>
    </row>
    <row r="568" spans="1:20" x14ac:dyDescent="0.25">
      <c r="A568" t="s">
        <v>386</v>
      </c>
      <c r="B568" t="s">
        <v>54</v>
      </c>
      <c r="C568" t="s">
        <v>55</v>
      </c>
      <c r="D568" t="s">
        <v>22</v>
      </c>
      <c r="E568" t="s">
        <v>23</v>
      </c>
      <c r="F568" t="s">
        <v>81</v>
      </c>
      <c r="G568" s="1">
        <v>200</v>
      </c>
      <c r="H568" s="1">
        <v>350</v>
      </c>
      <c r="I568">
        <v>270</v>
      </c>
      <c r="J568" s="2">
        <v>0.12</v>
      </c>
      <c r="K568" s="1">
        <v>94500</v>
      </c>
      <c r="L568" s="1">
        <v>11340</v>
      </c>
      <c r="M568" s="1">
        <v>83160</v>
      </c>
      <c r="N568" s="1">
        <v>54000</v>
      </c>
      <c r="O568" s="1">
        <v>29160</v>
      </c>
      <c r="P568">
        <v>1</v>
      </c>
      <c r="Q568">
        <v>2</v>
      </c>
      <c r="R568">
        <v>2014</v>
      </c>
      <c r="S568" s="3">
        <v>41671</v>
      </c>
      <c r="T568" t="str">
        <f t="shared" si="8"/>
        <v>High Discount</v>
      </c>
    </row>
    <row r="569" spans="1:20" x14ac:dyDescent="0.25">
      <c r="A569" t="s">
        <v>103</v>
      </c>
      <c r="B569" t="s">
        <v>29</v>
      </c>
      <c r="C569" t="s">
        <v>30</v>
      </c>
      <c r="D569" t="s">
        <v>22</v>
      </c>
      <c r="E569" t="s">
        <v>23</v>
      </c>
      <c r="F569" t="s">
        <v>81</v>
      </c>
      <c r="G569" s="1">
        <v>200</v>
      </c>
      <c r="H569" s="1">
        <v>350</v>
      </c>
      <c r="I569">
        <v>3421</v>
      </c>
      <c r="J569" s="2">
        <v>0.1200175387313651</v>
      </c>
      <c r="K569" s="1">
        <v>1197350</v>
      </c>
      <c r="L569" s="1">
        <v>143703</v>
      </c>
      <c r="M569" s="1">
        <v>1053647</v>
      </c>
      <c r="N569" s="1">
        <v>684200</v>
      </c>
      <c r="O569" s="1">
        <v>369447</v>
      </c>
      <c r="P569">
        <v>1</v>
      </c>
      <c r="Q569">
        <v>7</v>
      </c>
      <c r="R569">
        <v>2014</v>
      </c>
      <c r="S569" s="3">
        <v>41821</v>
      </c>
      <c r="T569" t="str">
        <f t="shared" si="8"/>
        <v>Very High Discount</v>
      </c>
    </row>
    <row r="570" spans="1:20" x14ac:dyDescent="0.25">
      <c r="A570" t="s">
        <v>314</v>
      </c>
      <c r="B570" t="s">
        <v>20</v>
      </c>
      <c r="C570" t="s">
        <v>21</v>
      </c>
      <c r="D570" t="s">
        <v>22</v>
      </c>
      <c r="E570" t="s">
        <v>23</v>
      </c>
      <c r="F570" t="s">
        <v>81</v>
      </c>
      <c r="G570" s="1">
        <v>200</v>
      </c>
      <c r="H570" s="1">
        <v>350</v>
      </c>
      <c r="I570">
        <v>2734</v>
      </c>
      <c r="J570" s="2">
        <v>0.12</v>
      </c>
      <c r="K570" s="1">
        <v>956900</v>
      </c>
      <c r="L570" s="1">
        <v>114828</v>
      </c>
      <c r="M570" s="1">
        <v>842072</v>
      </c>
      <c r="N570" s="1">
        <v>546800</v>
      </c>
      <c r="O570" s="1">
        <v>295272</v>
      </c>
      <c r="P570">
        <v>1</v>
      </c>
      <c r="Q570">
        <v>10</v>
      </c>
      <c r="R570">
        <v>2014</v>
      </c>
      <c r="S570" s="3">
        <v>41913</v>
      </c>
      <c r="T570" t="str">
        <f t="shared" si="8"/>
        <v>High Discount</v>
      </c>
    </row>
    <row r="571" spans="1:20" x14ac:dyDescent="0.25">
      <c r="A571" t="s">
        <v>387</v>
      </c>
      <c r="B571" t="s">
        <v>54</v>
      </c>
      <c r="C571" t="s">
        <v>55</v>
      </c>
      <c r="D571" t="s">
        <v>31</v>
      </c>
      <c r="E571" t="s">
        <v>32</v>
      </c>
      <c r="F571" t="s">
        <v>81</v>
      </c>
      <c r="G571" s="1">
        <v>200</v>
      </c>
      <c r="H571" s="1">
        <v>350</v>
      </c>
      <c r="I571">
        <v>2548</v>
      </c>
      <c r="J571" s="2">
        <v>0.12</v>
      </c>
      <c r="K571" s="1">
        <v>891800</v>
      </c>
      <c r="L571" s="1">
        <v>107016</v>
      </c>
      <c r="M571" s="1">
        <v>784784</v>
      </c>
      <c r="N571" s="1">
        <v>509600</v>
      </c>
      <c r="O571" s="1">
        <v>275184</v>
      </c>
      <c r="P571">
        <v>1</v>
      </c>
      <c r="Q571">
        <v>11</v>
      </c>
      <c r="R571">
        <v>2013</v>
      </c>
      <c r="S571" s="3">
        <v>41579</v>
      </c>
      <c r="T571" t="str">
        <f t="shared" si="8"/>
        <v>High Discount</v>
      </c>
    </row>
    <row r="572" spans="1:20" x14ac:dyDescent="0.25">
      <c r="A572" t="s">
        <v>86</v>
      </c>
      <c r="B572" t="s">
        <v>29</v>
      </c>
      <c r="C572" t="s">
        <v>30</v>
      </c>
      <c r="D572" t="s">
        <v>22</v>
      </c>
      <c r="E572" t="s">
        <v>23</v>
      </c>
      <c r="F572" t="s">
        <v>24</v>
      </c>
      <c r="G572" s="1">
        <v>3</v>
      </c>
      <c r="H572" s="1">
        <v>20</v>
      </c>
      <c r="I572">
        <v>2521</v>
      </c>
      <c r="J572" s="2">
        <v>0.12002380007933361</v>
      </c>
      <c r="K572" s="1">
        <v>50420</v>
      </c>
      <c r="L572" s="1">
        <v>6051.6</v>
      </c>
      <c r="M572" s="1">
        <v>44368.4</v>
      </c>
      <c r="N572" s="1">
        <v>7563</v>
      </c>
      <c r="O572" s="1">
        <v>36805.4</v>
      </c>
      <c r="P572">
        <v>1</v>
      </c>
      <c r="Q572">
        <v>1</v>
      </c>
      <c r="R572">
        <v>2014</v>
      </c>
      <c r="S572" s="3">
        <v>41640</v>
      </c>
      <c r="T572" t="str">
        <f t="shared" si="8"/>
        <v>Very High Discount</v>
      </c>
    </row>
    <row r="573" spans="1:20" x14ac:dyDescent="0.25">
      <c r="A573" t="s">
        <v>388</v>
      </c>
      <c r="B573" t="s">
        <v>35</v>
      </c>
      <c r="C573" t="s">
        <v>36</v>
      </c>
      <c r="D573" t="s">
        <v>41</v>
      </c>
      <c r="E573" t="s">
        <v>42</v>
      </c>
      <c r="F573" t="s">
        <v>39</v>
      </c>
      <c r="G573" s="1">
        <v>5</v>
      </c>
      <c r="H573" s="1">
        <v>15</v>
      </c>
      <c r="I573">
        <v>2661</v>
      </c>
      <c r="J573" s="2">
        <v>0.12000000000000001</v>
      </c>
      <c r="K573" s="1">
        <v>39915</v>
      </c>
      <c r="L573" s="1">
        <v>4789.8</v>
      </c>
      <c r="M573" s="1">
        <v>35125.199999999997</v>
      </c>
      <c r="N573" s="1">
        <v>13305</v>
      </c>
      <c r="O573" s="1">
        <v>21820.199999999997</v>
      </c>
      <c r="P573">
        <v>1</v>
      </c>
      <c r="Q573">
        <v>5</v>
      </c>
      <c r="R573">
        <v>2014</v>
      </c>
      <c r="S573" s="3">
        <v>41760</v>
      </c>
      <c r="T573" t="str">
        <f t="shared" si="8"/>
        <v>High Discount</v>
      </c>
    </row>
    <row r="574" spans="1:20" x14ac:dyDescent="0.25">
      <c r="A574" t="s">
        <v>37</v>
      </c>
      <c r="B574" t="s">
        <v>26</v>
      </c>
      <c r="C574" t="s">
        <v>27</v>
      </c>
      <c r="D574" t="s">
        <v>22</v>
      </c>
      <c r="E574" t="s">
        <v>23</v>
      </c>
      <c r="F574" t="s">
        <v>57</v>
      </c>
      <c r="G574" s="1">
        <v>10</v>
      </c>
      <c r="H574" s="1">
        <v>20</v>
      </c>
      <c r="I574">
        <v>1531</v>
      </c>
      <c r="J574" s="2">
        <v>0.12000000000000001</v>
      </c>
      <c r="K574" s="1">
        <v>30620</v>
      </c>
      <c r="L574" s="1">
        <v>3674.4</v>
      </c>
      <c r="M574" s="1">
        <v>26945.599999999999</v>
      </c>
      <c r="N574" s="1">
        <v>15310</v>
      </c>
      <c r="O574" s="1">
        <v>11635.599999999999</v>
      </c>
      <c r="P574">
        <v>1</v>
      </c>
      <c r="Q574">
        <v>12</v>
      </c>
      <c r="R574">
        <v>2014</v>
      </c>
      <c r="S574" s="3">
        <v>41974</v>
      </c>
      <c r="T574" t="str">
        <f t="shared" si="8"/>
        <v>High Discount</v>
      </c>
    </row>
    <row r="575" spans="1:20" x14ac:dyDescent="0.25">
      <c r="A575" t="s">
        <v>333</v>
      </c>
      <c r="B575" t="s">
        <v>29</v>
      </c>
      <c r="C575" t="s">
        <v>30</v>
      </c>
      <c r="D575" t="s">
        <v>22</v>
      </c>
      <c r="E575" t="s">
        <v>23</v>
      </c>
      <c r="F575" t="s">
        <v>76</v>
      </c>
      <c r="G575" s="1">
        <v>250</v>
      </c>
      <c r="H575" s="1">
        <v>300</v>
      </c>
      <c r="I575">
        <v>1491</v>
      </c>
      <c r="J575" s="2">
        <v>0.12000000000000001</v>
      </c>
      <c r="K575" s="1">
        <v>447300</v>
      </c>
      <c r="L575" s="1">
        <v>53676.000000000007</v>
      </c>
      <c r="M575" s="1">
        <v>393624</v>
      </c>
      <c r="N575" s="1">
        <v>372750</v>
      </c>
      <c r="O575" s="1">
        <v>20874</v>
      </c>
      <c r="P575">
        <v>1</v>
      </c>
      <c r="Q575">
        <v>3</v>
      </c>
      <c r="R575">
        <v>2014</v>
      </c>
      <c r="S575" s="3">
        <v>41699</v>
      </c>
      <c r="T575" t="str">
        <f t="shared" si="8"/>
        <v>High Discount</v>
      </c>
    </row>
    <row r="576" spans="1:20" x14ac:dyDescent="0.25">
      <c r="A576" t="s">
        <v>37</v>
      </c>
      <c r="B576" t="s">
        <v>26</v>
      </c>
      <c r="C576" t="s">
        <v>27</v>
      </c>
      <c r="D576" t="s">
        <v>22</v>
      </c>
      <c r="E576" t="s">
        <v>23</v>
      </c>
      <c r="F576" t="s">
        <v>76</v>
      </c>
      <c r="G576" s="1">
        <v>250</v>
      </c>
      <c r="H576" s="1">
        <v>300</v>
      </c>
      <c r="I576">
        <v>1531</v>
      </c>
      <c r="J576" s="2">
        <v>0.12000000000000001</v>
      </c>
      <c r="K576" s="1">
        <v>459300</v>
      </c>
      <c r="L576" s="1">
        <v>55116.000000000007</v>
      </c>
      <c r="M576" s="1">
        <v>404184</v>
      </c>
      <c r="N576" s="1">
        <v>382750</v>
      </c>
      <c r="O576" s="1">
        <v>21434</v>
      </c>
      <c r="P576">
        <v>1</v>
      </c>
      <c r="Q576">
        <v>12</v>
      </c>
      <c r="R576">
        <v>2014</v>
      </c>
      <c r="S576" s="3">
        <v>41974</v>
      </c>
      <c r="T576" t="str">
        <f t="shared" si="8"/>
        <v>High Discount</v>
      </c>
    </row>
    <row r="577" spans="1:20" x14ac:dyDescent="0.25">
      <c r="A577" t="s">
        <v>389</v>
      </c>
      <c r="B577" t="s">
        <v>20</v>
      </c>
      <c r="C577" t="s">
        <v>21</v>
      </c>
      <c r="D577" t="s">
        <v>41</v>
      </c>
      <c r="E577" t="s">
        <v>42</v>
      </c>
      <c r="F577" t="s">
        <v>81</v>
      </c>
      <c r="G577" s="1">
        <v>200</v>
      </c>
      <c r="H577" s="1">
        <v>350</v>
      </c>
      <c r="I577">
        <v>2761</v>
      </c>
      <c r="J577" s="2">
        <v>0.12000000000000001</v>
      </c>
      <c r="K577" s="1">
        <v>966350</v>
      </c>
      <c r="L577" s="1">
        <v>115962.00000000001</v>
      </c>
      <c r="M577" s="1">
        <v>850388</v>
      </c>
      <c r="N577" s="1">
        <v>552200</v>
      </c>
      <c r="O577" s="1">
        <v>298188</v>
      </c>
      <c r="P577">
        <v>1</v>
      </c>
      <c r="Q577">
        <v>9</v>
      </c>
      <c r="R577">
        <v>2013</v>
      </c>
      <c r="S577" s="3">
        <v>41518</v>
      </c>
      <c r="T577" t="str">
        <f t="shared" si="8"/>
        <v>High Discount</v>
      </c>
    </row>
    <row r="578" spans="1:20" x14ac:dyDescent="0.25">
      <c r="A578" t="s">
        <v>390</v>
      </c>
      <c r="B578" t="s">
        <v>54</v>
      </c>
      <c r="C578" t="s">
        <v>55</v>
      </c>
      <c r="D578" t="s">
        <v>31</v>
      </c>
      <c r="E578" t="s">
        <v>32</v>
      </c>
      <c r="F578" t="s">
        <v>24</v>
      </c>
      <c r="G578" s="1">
        <v>3</v>
      </c>
      <c r="H578" s="1">
        <v>20</v>
      </c>
      <c r="I578">
        <v>2567</v>
      </c>
      <c r="J578" s="2">
        <v>0.12999999999999998</v>
      </c>
      <c r="K578" s="1">
        <v>51340</v>
      </c>
      <c r="L578" s="1">
        <v>6674.1999999999989</v>
      </c>
      <c r="M578" s="1">
        <v>44665.8</v>
      </c>
      <c r="N578" s="1">
        <v>7701</v>
      </c>
      <c r="O578" s="1">
        <v>36964.800000000003</v>
      </c>
      <c r="P578">
        <v>1</v>
      </c>
      <c r="Q578">
        <v>6</v>
      </c>
      <c r="R578">
        <v>2014</v>
      </c>
      <c r="S578" s="3">
        <v>41791</v>
      </c>
      <c r="T578" t="str">
        <f t="shared" ref="T578:T641" si="9">_xlfn.IFS(J578=0%,"No Discount",J578&lt;=3%,"Very Low Discount",J578&lt;=6%,"Low Discount",J578&lt;=9%,"Mid Discount",J578&lt;=12%,"High Discount",J578&lt;=15%,"Very High Discount")</f>
        <v>Very High Discount</v>
      </c>
    </row>
    <row r="579" spans="1:20" x14ac:dyDescent="0.25">
      <c r="A579" t="s">
        <v>390</v>
      </c>
      <c r="B579" t="s">
        <v>54</v>
      </c>
      <c r="C579" t="s">
        <v>55</v>
      </c>
      <c r="D579" t="s">
        <v>31</v>
      </c>
      <c r="E579" t="s">
        <v>32</v>
      </c>
      <c r="F579" t="s">
        <v>76</v>
      </c>
      <c r="G579" s="1">
        <v>250</v>
      </c>
      <c r="H579" s="1">
        <v>300</v>
      </c>
      <c r="I579">
        <v>2567</v>
      </c>
      <c r="J579" s="2">
        <v>0.12999999999999998</v>
      </c>
      <c r="K579" s="1">
        <v>770100</v>
      </c>
      <c r="L579" s="1">
        <v>100112.99999999999</v>
      </c>
      <c r="M579" s="1">
        <v>669987</v>
      </c>
      <c r="N579" s="1">
        <v>641750</v>
      </c>
      <c r="O579" s="1">
        <v>28237</v>
      </c>
      <c r="P579">
        <v>1</v>
      </c>
      <c r="Q579">
        <v>6</v>
      </c>
      <c r="R579">
        <v>2014</v>
      </c>
      <c r="S579" s="3">
        <v>41791</v>
      </c>
      <c r="T579" t="str">
        <f t="shared" si="9"/>
        <v>Very High Discount</v>
      </c>
    </row>
    <row r="580" spans="1:20" x14ac:dyDescent="0.25">
      <c r="A580" t="s">
        <v>90</v>
      </c>
      <c r="B580" t="s">
        <v>20</v>
      </c>
      <c r="C580" t="s">
        <v>21</v>
      </c>
      <c r="D580" t="s">
        <v>22</v>
      </c>
      <c r="E580" t="s">
        <v>23</v>
      </c>
      <c r="F580" t="s">
        <v>24</v>
      </c>
      <c r="G580" s="1">
        <v>3</v>
      </c>
      <c r="H580" s="1">
        <v>20</v>
      </c>
      <c r="I580">
        <v>923</v>
      </c>
      <c r="J580" s="2">
        <v>0.13</v>
      </c>
      <c r="K580" s="1">
        <v>18460</v>
      </c>
      <c r="L580" s="1">
        <v>2399.8000000000002</v>
      </c>
      <c r="M580" s="1">
        <v>16060.2</v>
      </c>
      <c r="N580" s="1">
        <v>2769</v>
      </c>
      <c r="O580" s="1">
        <v>13291.2</v>
      </c>
      <c r="P580">
        <v>1</v>
      </c>
      <c r="Q580">
        <v>3</v>
      </c>
      <c r="R580">
        <v>2014</v>
      </c>
      <c r="S580" s="3">
        <v>41699</v>
      </c>
      <c r="T580" t="str">
        <f t="shared" si="9"/>
        <v>Very High Discount</v>
      </c>
    </row>
    <row r="581" spans="1:20" x14ac:dyDescent="0.25">
      <c r="A581" t="s">
        <v>333</v>
      </c>
      <c r="B581" t="s">
        <v>29</v>
      </c>
      <c r="C581" t="s">
        <v>30</v>
      </c>
      <c r="D581" t="s">
        <v>22</v>
      </c>
      <c r="E581" t="s">
        <v>23</v>
      </c>
      <c r="F581" t="s">
        <v>24</v>
      </c>
      <c r="G581" s="1">
        <v>3</v>
      </c>
      <c r="H581" s="1">
        <v>20</v>
      </c>
      <c r="I581">
        <v>1790</v>
      </c>
      <c r="J581" s="2">
        <v>0.13</v>
      </c>
      <c r="K581" s="1">
        <v>35800</v>
      </c>
      <c r="L581" s="1">
        <v>4654</v>
      </c>
      <c r="M581" s="1">
        <v>31146</v>
      </c>
      <c r="N581" s="1">
        <v>5370</v>
      </c>
      <c r="O581" s="1">
        <v>25776</v>
      </c>
      <c r="P581">
        <v>1</v>
      </c>
      <c r="Q581">
        <v>3</v>
      </c>
      <c r="R581">
        <v>2014</v>
      </c>
      <c r="S581" s="3">
        <v>41699</v>
      </c>
      <c r="T581" t="str">
        <f t="shared" si="9"/>
        <v>Very High Discount</v>
      </c>
    </row>
    <row r="582" spans="1:20" x14ac:dyDescent="0.25">
      <c r="A582" t="s">
        <v>158</v>
      </c>
      <c r="B582" t="s">
        <v>26</v>
      </c>
      <c r="C582" t="s">
        <v>27</v>
      </c>
      <c r="D582" t="s">
        <v>22</v>
      </c>
      <c r="E582" t="s">
        <v>23</v>
      </c>
      <c r="F582" t="s">
        <v>24</v>
      </c>
      <c r="G582" s="1">
        <v>3</v>
      </c>
      <c r="H582" s="1">
        <v>20</v>
      </c>
      <c r="I582">
        <v>442</v>
      </c>
      <c r="J582" s="2">
        <v>0.13</v>
      </c>
      <c r="K582" s="1">
        <v>8840</v>
      </c>
      <c r="L582" s="1">
        <v>1149.2</v>
      </c>
      <c r="M582" s="1">
        <v>7690.8</v>
      </c>
      <c r="N582" s="1">
        <v>1326</v>
      </c>
      <c r="O582" s="1">
        <v>6364.8</v>
      </c>
      <c r="P582">
        <v>1</v>
      </c>
      <c r="Q582">
        <v>9</v>
      </c>
      <c r="R582">
        <v>2013</v>
      </c>
      <c r="S582" s="3">
        <v>41518</v>
      </c>
      <c r="T582" t="str">
        <f t="shared" si="9"/>
        <v>Very High Discount</v>
      </c>
    </row>
    <row r="583" spans="1:20" x14ac:dyDescent="0.25">
      <c r="A583" t="s">
        <v>227</v>
      </c>
      <c r="B583" t="s">
        <v>54</v>
      </c>
      <c r="C583" t="s">
        <v>55</v>
      </c>
      <c r="D583" t="s">
        <v>22</v>
      </c>
      <c r="E583" t="s">
        <v>23</v>
      </c>
      <c r="F583" t="s">
        <v>39</v>
      </c>
      <c r="G583" s="1">
        <v>5</v>
      </c>
      <c r="H583" s="1">
        <v>15</v>
      </c>
      <c r="I583">
        <v>982</v>
      </c>
      <c r="J583" s="2">
        <v>0.13006619144602852</v>
      </c>
      <c r="K583" s="1">
        <v>14730</v>
      </c>
      <c r="L583" s="1">
        <v>1915.875</v>
      </c>
      <c r="M583" s="1">
        <v>12814.125</v>
      </c>
      <c r="N583" s="1">
        <v>4910</v>
      </c>
      <c r="O583" s="1">
        <v>7904.125</v>
      </c>
      <c r="P583">
        <v>1</v>
      </c>
      <c r="Q583">
        <v>1</v>
      </c>
      <c r="R583">
        <v>2014</v>
      </c>
      <c r="S583" s="3">
        <v>41640</v>
      </c>
      <c r="T583" t="str">
        <f t="shared" si="9"/>
        <v>Very High Discount</v>
      </c>
    </row>
    <row r="584" spans="1:20" x14ac:dyDescent="0.25">
      <c r="A584" t="s">
        <v>386</v>
      </c>
      <c r="B584" t="s">
        <v>54</v>
      </c>
      <c r="C584" t="s">
        <v>55</v>
      </c>
      <c r="D584" t="s">
        <v>22</v>
      </c>
      <c r="E584" t="s">
        <v>23</v>
      </c>
      <c r="F584" t="s">
        <v>39</v>
      </c>
      <c r="G584" s="1">
        <v>5</v>
      </c>
      <c r="H584" s="1">
        <v>15</v>
      </c>
      <c r="I584">
        <v>1298</v>
      </c>
      <c r="J584" s="2">
        <v>0.13</v>
      </c>
      <c r="K584" s="1">
        <v>19470</v>
      </c>
      <c r="L584" s="1">
        <v>2531.1</v>
      </c>
      <c r="M584" s="1">
        <v>16938.900000000001</v>
      </c>
      <c r="N584" s="1">
        <v>6490</v>
      </c>
      <c r="O584" s="1">
        <v>10448.900000000001</v>
      </c>
      <c r="P584">
        <v>1</v>
      </c>
      <c r="Q584">
        <v>2</v>
      </c>
      <c r="R584">
        <v>2014</v>
      </c>
      <c r="S584" s="3">
        <v>41671</v>
      </c>
      <c r="T584" t="str">
        <f t="shared" si="9"/>
        <v>Very High Discount</v>
      </c>
    </row>
    <row r="585" spans="1:20" x14ac:dyDescent="0.25">
      <c r="A585" t="s">
        <v>391</v>
      </c>
      <c r="B585" t="s">
        <v>35</v>
      </c>
      <c r="C585" t="s">
        <v>36</v>
      </c>
      <c r="D585" t="s">
        <v>41</v>
      </c>
      <c r="E585" t="s">
        <v>42</v>
      </c>
      <c r="F585" t="s">
        <v>39</v>
      </c>
      <c r="G585" s="1">
        <v>5</v>
      </c>
      <c r="H585" s="1">
        <v>15</v>
      </c>
      <c r="I585">
        <v>604</v>
      </c>
      <c r="J585" s="2">
        <v>0.13</v>
      </c>
      <c r="K585" s="1">
        <v>9060</v>
      </c>
      <c r="L585" s="1">
        <v>1177.8</v>
      </c>
      <c r="M585" s="1">
        <v>7882.2</v>
      </c>
      <c r="N585" s="1">
        <v>3020</v>
      </c>
      <c r="O585" s="1">
        <v>4862.2</v>
      </c>
      <c r="P585">
        <v>1</v>
      </c>
      <c r="Q585">
        <v>6</v>
      </c>
      <c r="R585">
        <v>2014</v>
      </c>
      <c r="S585" s="3">
        <v>41791</v>
      </c>
      <c r="T585" t="str">
        <f t="shared" si="9"/>
        <v>Very High Discount</v>
      </c>
    </row>
    <row r="586" spans="1:20" x14ac:dyDescent="0.25">
      <c r="A586" t="s">
        <v>199</v>
      </c>
      <c r="B586" t="s">
        <v>35</v>
      </c>
      <c r="C586" t="s">
        <v>36</v>
      </c>
      <c r="D586" t="s">
        <v>22</v>
      </c>
      <c r="E586" t="s">
        <v>23</v>
      </c>
      <c r="F586" t="s">
        <v>39</v>
      </c>
      <c r="G586" s="1">
        <v>5</v>
      </c>
      <c r="H586" s="1">
        <v>15</v>
      </c>
      <c r="I586">
        <v>2255</v>
      </c>
      <c r="J586" s="2">
        <v>0.13</v>
      </c>
      <c r="K586" s="1">
        <v>33825</v>
      </c>
      <c r="L586" s="1">
        <v>4397.25</v>
      </c>
      <c r="M586" s="1">
        <v>29427.75</v>
      </c>
      <c r="N586" s="1">
        <v>11275</v>
      </c>
      <c r="O586" s="1">
        <v>18152.75</v>
      </c>
      <c r="P586">
        <v>1</v>
      </c>
      <c r="Q586">
        <v>7</v>
      </c>
      <c r="R586">
        <v>2014</v>
      </c>
      <c r="S586" s="3">
        <v>41821</v>
      </c>
      <c r="T586" t="str">
        <f t="shared" si="9"/>
        <v>Very High Discount</v>
      </c>
    </row>
    <row r="587" spans="1:20" x14ac:dyDescent="0.25">
      <c r="A587" t="s">
        <v>314</v>
      </c>
      <c r="B587" t="s">
        <v>20</v>
      </c>
      <c r="C587" t="s">
        <v>21</v>
      </c>
      <c r="D587" t="s">
        <v>22</v>
      </c>
      <c r="E587" t="s">
        <v>23</v>
      </c>
      <c r="F587" t="s">
        <v>39</v>
      </c>
      <c r="G587" s="1">
        <v>5</v>
      </c>
      <c r="H587" s="1">
        <v>15</v>
      </c>
      <c r="I587">
        <v>1249</v>
      </c>
      <c r="J587" s="2">
        <v>0.13</v>
      </c>
      <c r="K587" s="1">
        <v>18735</v>
      </c>
      <c r="L587" s="1">
        <v>2435.5500000000002</v>
      </c>
      <c r="M587" s="1">
        <v>16299.45</v>
      </c>
      <c r="N587" s="1">
        <v>6245</v>
      </c>
      <c r="O587" s="1">
        <v>10054.450000000001</v>
      </c>
      <c r="P587">
        <v>1</v>
      </c>
      <c r="Q587">
        <v>10</v>
      </c>
      <c r="R587">
        <v>2014</v>
      </c>
      <c r="S587" s="3">
        <v>41913</v>
      </c>
      <c r="T587" t="str">
        <f t="shared" si="9"/>
        <v>Very High Discount</v>
      </c>
    </row>
    <row r="588" spans="1:20" x14ac:dyDescent="0.25">
      <c r="A588" t="s">
        <v>227</v>
      </c>
      <c r="B588" t="s">
        <v>54</v>
      </c>
      <c r="C588" t="s">
        <v>55</v>
      </c>
      <c r="D588" t="s">
        <v>22</v>
      </c>
      <c r="E588" t="s">
        <v>23</v>
      </c>
      <c r="F588" t="s">
        <v>57</v>
      </c>
      <c r="G588" s="1">
        <v>10</v>
      </c>
      <c r="H588" s="1">
        <v>20</v>
      </c>
      <c r="I588">
        <v>1438</v>
      </c>
      <c r="J588" s="2">
        <v>0.13004569839062188</v>
      </c>
      <c r="K588" s="1">
        <v>28760</v>
      </c>
      <c r="L588" s="1">
        <v>3740.1142857142854</v>
      </c>
      <c r="M588" s="1">
        <v>25019.885714285716</v>
      </c>
      <c r="N588" s="1">
        <v>14380</v>
      </c>
      <c r="O588" s="1">
        <v>10639.885714285716</v>
      </c>
      <c r="P588">
        <v>1</v>
      </c>
      <c r="Q588">
        <v>1</v>
      </c>
      <c r="R588">
        <v>2014</v>
      </c>
      <c r="S588" s="3">
        <v>41640</v>
      </c>
      <c r="T588" t="str">
        <f t="shared" si="9"/>
        <v>Very High Discount</v>
      </c>
    </row>
    <row r="589" spans="1:20" x14ac:dyDescent="0.25">
      <c r="A589" t="s">
        <v>392</v>
      </c>
      <c r="B589" t="s">
        <v>26</v>
      </c>
      <c r="C589" t="s">
        <v>27</v>
      </c>
      <c r="D589" t="s">
        <v>49</v>
      </c>
      <c r="E589" t="s">
        <v>50</v>
      </c>
      <c r="F589" t="s">
        <v>57</v>
      </c>
      <c r="G589" s="1">
        <v>10</v>
      </c>
      <c r="H589" s="1">
        <v>20</v>
      </c>
      <c r="I589">
        <v>807</v>
      </c>
      <c r="J589" s="2">
        <v>0.13</v>
      </c>
      <c r="K589" s="1">
        <v>16140</v>
      </c>
      <c r="L589" s="1">
        <v>2098.2000000000003</v>
      </c>
      <c r="M589" s="1">
        <v>14041.8</v>
      </c>
      <c r="N589" s="1">
        <v>8070</v>
      </c>
      <c r="O589" s="1">
        <v>5971.7999999999993</v>
      </c>
      <c r="P589">
        <v>1</v>
      </c>
      <c r="Q589">
        <v>1</v>
      </c>
      <c r="R589">
        <v>2014</v>
      </c>
      <c r="S589" s="3">
        <v>41640</v>
      </c>
      <c r="T589" t="str">
        <f t="shared" si="9"/>
        <v>Very High Discount</v>
      </c>
    </row>
    <row r="590" spans="1:20" x14ac:dyDescent="0.25">
      <c r="A590" t="s">
        <v>386</v>
      </c>
      <c r="B590" t="s">
        <v>54</v>
      </c>
      <c r="C590" t="s">
        <v>55</v>
      </c>
      <c r="D590" t="s">
        <v>22</v>
      </c>
      <c r="E590" t="s">
        <v>23</v>
      </c>
      <c r="F590" t="s">
        <v>57</v>
      </c>
      <c r="G590" s="1">
        <v>10</v>
      </c>
      <c r="H590" s="1">
        <v>20</v>
      </c>
      <c r="I590">
        <v>2641</v>
      </c>
      <c r="J590" s="2">
        <v>0.13</v>
      </c>
      <c r="K590" s="1">
        <v>52820</v>
      </c>
      <c r="L590" s="1">
        <v>6866.6</v>
      </c>
      <c r="M590" s="1">
        <v>45953.4</v>
      </c>
      <c r="N590" s="1">
        <v>26410</v>
      </c>
      <c r="O590" s="1">
        <v>19543.400000000001</v>
      </c>
      <c r="P590">
        <v>1</v>
      </c>
      <c r="Q590">
        <v>2</v>
      </c>
      <c r="R590">
        <v>2014</v>
      </c>
      <c r="S590" s="3">
        <v>41671</v>
      </c>
      <c r="T590" t="str">
        <f t="shared" si="9"/>
        <v>Very High Discount</v>
      </c>
    </row>
    <row r="591" spans="1:20" x14ac:dyDescent="0.25">
      <c r="A591" t="s">
        <v>155</v>
      </c>
      <c r="B591" t="s">
        <v>26</v>
      </c>
      <c r="C591" t="s">
        <v>27</v>
      </c>
      <c r="D591" t="s">
        <v>22</v>
      </c>
      <c r="E591" t="s">
        <v>23</v>
      </c>
      <c r="F591" t="s">
        <v>57</v>
      </c>
      <c r="G591" s="1">
        <v>10</v>
      </c>
      <c r="H591" s="1">
        <v>20</v>
      </c>
      <c r="I591">
        <v>2708</v>
      </c>
      <c r="J591" s="2">
        <v>0.13</v>
      </c>
      <c r="K591" s="1">
        <v>54160</v>
      </c>
      <c r="L591" s="1">
        <v>7040.8</v>
      </c>
      <c r="M591" s="1">
        <v>47119.199999999997</v>
      </c>
      <c r="N591" s="1">
        <v>27080</v>
      </c>
      <c r="O591" s="1">
        <v>20039.199999999997</v>
      </c>
      <c r="P591">
        <v>1</v>
      </c>
      <c r="Q591">
        <v>2</v>
      </c>
      <c r="R591">
        <v>2014</v>
      </c>
      <c r="S591" s="3">
        <v>41671</v>
      </c>
      <c r="T591" t="str">
        <f t="shared" si="9"/>
        <v>Very High Discount</v>
      </c>
    </row>
    <row r="592" spans="1:20" x14ac:dyDescent="0.25">
      <c r="A592" t="s">
        <v>257</v>
      </c>
      <c r="B592" t="s">
        <v>20</v>
      </c>
      <c r="C592" t="s">
        <v>21</v>
      </c>
      <c r="D592" t="s">
        <v>22</v>
      </c>
      <c r="E592" t="s">
        <v>23</v>
      </c>
      <c r="F592" t="s">
        <v>57</v>
      </c>
      <c r="G592" s="1">
        <v>10</v>
      </c>
      <c r="H592" s="1">
        <v>20</v>
      </c>
      <c r="I592">
        <v>2632</v>
      </c>
      <c r="J592" s="2">
        <v>0.13</v>
      </c>
      <c r="K592" s="1">
        <v>52640</v>
      </c>
      <c r="L592" s="1">
        <v>6843.2</v>
      </c>
      <c r="M592" s="1">
        <v>45796.800000000003</v>
      </c>
      <c r="N592" s="1">
        <v>26320</v>
      </c>
      <c r="O592" s="1">
        <v>19476.800000000003</v>
      </c>
      <c r="P592">
        <v>1</v>
      </c>
      <c r="Q592">
        <v>6</v>
      </c>
      <c r="R592">
        <v>2014</v>
      </c>
      <c r="S592" s="3">
        <v>41791</v>
      </c>
      <c r="T592" t="str">
        <f t="shared" si="9"/>
        <v>Very High Discount</v>
      </c>
    </row>
    <row r="593" spans="1:20" x14ac:dyDescent="0.25">
      <c r="A593" t="s">
        <v>393</v>
      </c>
      <c r="B593" t="s">
        <v>20</v>
      </c>
      <c r="C593" t="s">
        <v>21</v>
      </c>
      <c r="D593" t="s">
        <v>46</v>
      </c>
      <c r="E593" t="s">
        <v>47</v>
      </c>
      <c r="F593" t="s">
        <v>57</v>
      </c>
      <c r="G593" s="1">
        <v>10</v>
      </c>
      <c r="H593" s="1">
        <v>20</v>
      </c>
      <c r="I593">
        <v>1583</v>
      </c>
      <c r="J593" s="2">
        <v>0.13</v>
      </c>
      <c r="K593" s="1">
        <v>31660</v>
      </c>
      <c r="L593" s="1">
        <v>4115.8</v>
      </c>
      <c r="M593" s="1">
        <v>27544.2</v>
      </c>
      <c r="N593" s="1">
        <v>15830</v>
      </c>
      <c r="O593" s="1">
        <v>11714.2</v>
      </c>
      <c r="P593">
        <v>1</v>
      </c>
      <c r="Q593">
        <v>6</v>
      </c>
      <c r="R593">
        <v>2014</v>
      </c>
      <c r="S593" s="3">
        <v>41791</v>
      </c>
      <c r="T593" t="str">
        <f t="shared" si="9"/>
        <v>Very High Discount</v>
      </c>
    </row>
    <row r="594" spans="1:20" x14ac:dyDescent="0.25">
      <c r="A594" t="s">
        <v>394</v>
      </c>
      <c r="B594" t="s">
        <v>35</v>
      </c>
      <c r="C594" t="s">
        <v>36</v>
      </c>
      <c r="D594" t="s">
        <v>41</v>
      </c>
      <c r="E594" t="s">
        <v>42</v>
      </c>
      <c r="F594" t="s">
        <v>57</v>
      </c>
      <c r="G594" s="1">
        <v>10</v>
      </c>
      <c r="H594" s="1">
        <v>20</v>
      </c>
      <c r="I594">
        <v>571</v>
      </c>
      <c r="J594" s="2">
        <v>0.13</v>
      </c>
      <c r="K594" s="1">
        <v>11420</v>
      </c>
      <c r="L594" s="1">
        <v>1484.6000000000001</v>
      </c>
      <c r="M594" s="1">
        <v>9935.4</v>
      </c>
      <c r="N594" s="1">
        <v>5710</v>
      </c>
      <c r="O594" s="1">
        <v>4225.3999999999996</v>
      </c>
      <c r="P594">
        <v>1</v>
      </c>
      <c r="Q594">
        <v>7</v>
      </c>
      <c r="R594">
        <v>2014</v>
      </c>
      <c r="S594" s="3">
        <v>41821</v>
      </c>
      <c r="T594" t="str">
        <f t="shared" si="9"/>
        <v>Very High Discount</v>
      </c>
    </row>
    <row r="595" spans="1:20" x14ac:dyDescent="0.25">
      <c r="A595" t="s">
        <v>223</v>
      </c>
      <c r="B595" t="s">
        <v>29</v>
      </c>
      <c r="C595" t="s">
        <v>30</v>
      </c>
      <c r="D595" t="s">
        <v>22</v>
      </c>
      <c r="E595" t="s">
        <v>23</v>
      </c>
      <c r="F595" t="s">
        <v>57</v>
      </c>
      <c r="G595" s="1">
        <v>10</v>
      </c>
      <c r="H595" s="1">
        <v>20</v>
      </c>
      <c r="I595">
        <v>2696</v>
      </c>
      <c r="J595" s="2">
        <v>0.13</v>
      </c>
      <c r="K595" s="1">
        <v>53920</v>
      </c>
      <c r="L595" s="1">
        <v>7009.6</v>
      </c>
      <c r="M595" s="1">
        <v>46910.400000000001</v>
      </c>
      <c r="N595" s="1">
        <v>26960</v>
      </c>
      <c r="O595" s="1">
        <v>19950.400000000001</v>
      </c>
      <c r="P595">
        <v>1</v>
      </c>
      <c r="Q595">
        <v>8</v>
      </c>
      <c r="R595">
        <v>2014</v>
      </c>
      <c r="S595" s="3">
        <v>41852</v>
      </c>
      <c r="T595" t="str">
        <f t="shared" si="9"/>
        <v>Very High Discount</v>
      </c>
    </row>
    <row r="596" spans="1:20" x14ac:dyDescent="0.25">
      <c r="A596" t="s">
        <v>395</v>
      </c>
      <c r="B596" t="s">
        <v>20</v>
      </c>
      <c r="C596" t="s">
        <v>21</v>
      </c>
      <c r="D596" t="s">
        <v>31</v>
      </c>
      <c r="E596" t="s">
        <v>32</v>
      </c>
      <c r="F596" t="s">
        <v>57</v>
      </c>
      <c r="G596" s="1">
        <v>10</v>
      </c>
      <c r="H596" s="1">
        <v>20</v>
      </c>
      <c r="I596">
        <v>1565</v>
      </c>
      <c r="J596" s="2">
        <v>0.13</v>
      </c>
      <c r="K596" s="1">
        <v>31300</v>
      </c>
      <c r="L596" s="1">
        <v>4069</v>
      </c>
      <c r="M596" s="1">
        <v>27231</v>
      </c>
      <c r="N596" s="1">
        <v>15650</v>
      </c>
      <c r="O596" s="1">
        <v>11581</v>
      </c>
      <c r="P596">
        <v>1</v>
      </c>
      <c r="Q596">
        <v>10</v>
      </c>
      <c r="R596">
        <v>2014</v>
      </c>
      <c r="S596" s="3">
        <v>41913</v>
      </c>
      <c r="T596" t="str">
        <f t="shared" si="9"/>
        <v>Very High Discount</v>
      </c>
    </row>
    <row r="597" spans="1:20" x14ac:dyDescent="0.25">
      <c r="A597" t="s">
        <v>314</v>
      </c>
      <c r="B597" t="s">
        <v>20</v>
      </c>
      <c r="C597" t="s">
        <v>21</v>
      </c>
      <c r="D597" t="s">
        <v>22</v>
      </c>
      <c r="E597" t="s">
        <v>23</v>
      </c>
      <c r="F597" t="s">
        <v>57</v>
      </c>
      <c r="G597" s="1">
        <v>10</v>
      </c>
      <c r="H597" s="1">
        <v>20</v>
      </c>
      <c r="I597">
        <v>1249</v>
      </c>
      <c r="J597" s="2">
        <v>0.13</v>
      </c>
      <c r="K597" s="1">
        <v>24980</v>
      </c>
      <c r="L597" s="1">
        <v>3247.4</v>
      </c>
      <c r="M597" s="1">
        <v>21732.6</v>
      </c>
      <c r="N597" s="1">
        <v>12490</v>
      </c>
      <c r="O597" s="1">
        <v>9242.5999999999985</v>
      </c>
      <c r="P597">
        <v>1</v>
      </c>
      <c r="Q597">
        <v>10</v>
      </c>
      <c r="R597">
        <v>2014</v>
      </c>
      <c r="S597" s="3">
        <v>41913</v>
      </c>
      <c r="T597" t="str">
        <f t="shared" si="9"/>
        <v>Very High Discount</v>
      </c>
    </row>
    <row r="598" spans="1:20" x14ac:dyDescent="0.25">
      <c r="A598" t="s">
        <v>295</v>
      </c>
      <c r="B598" t="s">
        <v>26</v>
      </c>
      <c r="C598" t="s">
        <v>27</v>
      </c>
      <c r="D598" t="s">
        <v>22</v>
      </c>
      <c r="E598" t="s">
        <v>23</v>
      </c>
      <c r="F598" t="s">
        <v>57</v>
      </c>
      <c r="G598" s="1">
        <v>10</v>
      </c>
      <c r="H598" s="1">
        <v>20</v>
      </c>
      <c r="I598">
        <v>357</v>
      </c>
      <c r="J598" s="2">
        <v>0.13</v>
      </c>
      <c r="K598" s="1">
        <v>7140</v>
      </c>
      <c r="L598" s="1">
        <v>928.2</v>
      </c>
      <c r="M598" s="1">
        <v>6211.8</v>
      </c>
      <c r="N598" s="1">
        <v>3570</v>
      </c>
      <c r="O598" s="1">
        <v>2641.8</v>
      </c>
      <c r="P598">
        <v>1</v>
      </c>
      <c r="Q598">
        <v>11</v>
      </c>
      <c r="R598">
        <v>2014</v>
      </c>
      <c r="S598" s="3">
        <v>41944</v>
      </c>
      <c r="T598" t="str">
        <f t="shared" si="9"/>
        <v>Very High Discount</v>
      </c>
    </row>
    <row r="599" spans="1:20" x14ac:dyDescent="0.25">
      <c r="A599" t="s">
        <v>396</v>
      </c>
      <c r="B599" t="s">
        <v>26</v>
      </c>
      <c r="C599" t="s">
        <v>27</v>
      </c>
      <c r="D599" t="s">
        <v>41</v>
      </c>
      <c r="E599" t="s">
        <v>42</v>
      </c>
      <c r="F599" t="s">
        <v>57</v>
      </c>
      <c r="G599" s="1">
        <v>10</v>
      </c>
      <c r="H599" s="1">
        <v>20</v>
      </c>
      <c r="I599">
        <v>1013</v>
      </c>
      <c r="J599" s="2">
        <v>0.13</v>
      </c>
      <c r="K599" s="1">
        <v>20260</v>
      </c>
      <c r="L599" s="1">
        <v>2633.8</v>
      </c>
      <c r="M599" s="1">
        <v>17626.2</v>
      </c>
      <c r="N599" s="1">
        <v>10130</v>
      </c>
      <c r="O599" s="1">
        <v>7496.2000000000007</v>
      </c>
      <c r="P599">
        <v>1</v>
      </c>
      <c r="Q599">
        <v>12</v>
      </c>
      <c r="R599">
        <v>2014</v>
      </c>
      <c r="S599" s="3">
        <v>41974</v>
      </c>
      <c r="T599" t="str">
        <f t="shared" si="9"/>
        <v>Very High Discount</v>
      </c>
    </row>
    <row r="600" spans="1:20" x14ac:dyDescent="0.25">
      <c r="A600" t="s">
        <v>397</v>
      </c>
      <c r="B600" t="s">
        <v>29</v>
      </c>
      <c r="C600" t="s">
        <v>30</v>
      </c>
      <c r="D600" t="s">
        <v>31</v>
      </c>
      <c r="E600" t="s">
        <v>32</v>
      </c>
      <c r="F600" t="s">
        <v>71</v>
      </c>
      <c r="G600" s="1">
        <v>120</v>
      </c>
      <c r="H600" s="1">
        <v>180</v>
      </c>
      <c r="I600">
        <v>3997</v>
      </c>
      <c r="J600" s="2">
        <v>0.13001634559252773</v>
      </c>
      <c r="K600" s="1">
        <v>719460</v>
      </c>
      <c r="L600" s="1">
        <v>93541.56</v>
      </c>
      <c r="M600" s="1">
        <v>625918.43999999994</v>
      </c>
      <c r="N600" s="1">
        <v>479640</v>
      </c>
      <c r="O600" s="1">
        <v>146278.43999999994</v>
      </c>
      <c r="P600">
        <v>1</v>
      </c>
      <c r="Q600">
        <v>1</v>
      </c>
      <c r="R600">
        <v>2014</v>
      </c>
      <c r="S600" s="3">
        <v>41640</v>
      </c>
      <c r="T600" t="str">
        <f t="shared" si="9"/>
        <v>Very High Discount</v>
      </c>
    </row>
    <row r="601" spans="1:20" x14ac:dyDescent="0.25">
      <c r="A601" t="s">
        <v>257</v>
      </c>
      <c r="B601" t="s">
        <v>20</v>
      </c>
      <c r="C601" t="s">
        <v>21</v>
      </c>
      <c r="D601" t="s">
        <v>22</v>
      </c>
      <c r="E601" t="s">
        <v>23</v>
      </c>
      <c r="F601" t="s">
        <v>71</v>
      </c>
      <c r="G601" s="1">
        <v>120</v>
      </c>
      <c r="H601" s="1">
        <v>180</v>
      </c>
      <c r="I601">
        <v>2632</v>
      </c>
      <c r="J601" s="2">
        <v>0.13</v>
      </c>
      <c r="K601" s="1">
        <v>473760</v>
      </c>
      <c r="L601" s="1">
        <v>61588.800000000003</v>
      </c>
      <c r="M601" s="1">
        <v>412171.2</v>
      </c>
      <c r="N601" s="1">
        <v>315840</v>
      </c>
      <c r="O601" s="1">
        <v>96331.200000000012</v>
      </c>
      <c r="P601">
        <v>1</v>
      </c>
      <c r="Q601">
        <v>6</v>
      </c>
      <c r="R601">
        <v>2014</v>
      </c>
      <c r="S601" s="3">
        <v>41791</v>
      </c>
      <c r="T601" t="str">
        <f t="shared" si="9"/>
        <v>Very High Discount</v>
      </c>
    </row>
    <row r="602" spans="1:20" x14ac:dyDescent="0.25">
      <c r="A602" t="s">
        <v>43</v>
      </c>
      <c r="B602" t="s">
        <v>29</v>
      </c>
      <c r="C602" t="s">
        <v>30</v>
      </c>
      <c r="D602" t="s">
        <v>22</v>
      </c>
      <c r="E602" t="s">
        <v>23</v>
      </c>
      <c r="F602" t="s">
        <v>71</v>
      </c>
      <c r="G602" s="1">
        <v>120</v>
      </c>
      <c r="H602" s="1">
        <v>180</v>
      </c>
      <c r="I602">
        <v>1190</v>
      </c>
      <c r="J602" s="2">
        <v>0.13</v>
      </c>
      <c r="K602" s="1">
        <v>214200</v>
      </c>
      <c r="L602" s="1">
        <v>27846</v>
      </c>
      <c r="M602" s="1">
        <v>186354</v>
      </c>
      <c r="N602" s="1">
        <v>142800</v>
      </c>
      <c r="O602" s="1">
        <v>43554</v>
      </c>
      <c r="P602">
        <v>1</v>
      </c>
      <c r="Q602">
        <v>6</v>
      </c>
      <c r="R602">
        <v>2014</v>
      </c>
      <c r="S602" s="3">
        <v>41791</v>
      </c>
      <c r="T602" t="str">
        <f t="shared" si="9"/>
        <v>Very High Discount</v>
      </c>
    </row>
    <row r="603" spans="1:20" x14ac:dyDescent="0.25">
      <c r="A603" t="s">
        <v>391</v>
      </c>
      <c r="B603" t="s">
        <v>35</v>
      </c>
      <c r="C603" t="s">
        <v>36</v>
      </c>
      <c r="D603" t="s">
        <v>41</v>
      </c>
      <c r="E603" t="s">
        <v>42</v>
      </c>
      <c r="F603" t="s">
        <v>71</v>
      </c>
      <c r="G603" s="1">
        <v>120</v>
      </c>
      <c r="H603" s="1">
        <v>180</v>
      </c>
      <c r="I603">
        <v>604</v>
      </c>
      <c r="J603" s="2">
        <v>0.13</v>
      </c>
      <c r="K603" s="1">
        <v>108720</v>
      </c>
      <c r="L603" s="1">
        <v>14133.6</v>
      </c>
      <c r="M603" s="1">
        <v>94586.4</v>
      </c>
      <c r="N603" s="1">
        <v>72480</v>
      </c>
      <c r="O603" s="1">
        <v>22106.399999999994</v>
      </c>
      <c r="P603">
        <v>1</v>
      </c>
      <c r="Q603">
        <v>6</v>
      </c>
      <c r="R603">
        <v>2014</v>
      </c>
      <c r="S603" s="3">
        <v>41791</v>
      </c>
      <c r="T603" t="str">
        <f t="shared" si="9"/>
        <v>Very High Discount</v>
      </c>
    </row>
    <row r="604" spans="1:20" x14ac:dyDescent="0.25">
      <c r="A604" t="s">
        <v>398</v>
      </c>
      <c r="B604" t="s">
        <v>26</v>
      </c>
      <c r="C604" t="s">
        <v>27</v>
      </c>
      <c r="D604" t="s">
        <v>31</v>
      </c>
      <c r="E604" t="s">
        <v>32</v>
      </c>
      <c r="F604" t="s">
        <v>71</v>
      </c>
      <c r="G604" s="1">
        <v>120</v>
      </c>
      <c r="H604" s="1">
        <v>180</v>
      </c>
      <c r="I604">
        <v>660</v>
      </c>
      <c r="J604" s="2">
        <v>0.13</v>
      </c>
      <c r="K604" s="1">
        <v>118800</v>
      </c>
      <c r="L604" s="1">
        <v>15444</v>
      </c>
      <c r="M604" s="1">
        <v>103356</v>
      </c>
      <c r="N604" s="1">
        <v>79200</v>
      </c>
      <c r="O604" s="1">
        <v>24156</v>
      </c>
      <c r="P604">
        <v>1</v>
      </c>
      <c r="Q604">
        <v>9</v>
      </c>
      <c r="R604">
        <v>2013</v>
      </c>
      <c r="S604" s="3">
        <v>41518</v>
      </c>
      <c r="T604" t="str">
        <f t="shared" si="9"/>
        <v>Very High Discount</v>
      </c>
    </row>
    <row r="605" spans="1:20" x14ac:dyDescent="0.25">
      <c r="A605" t="s">
        <v>399</v>
      </c>
      <c r="B605" t="s">
        <v>35</v>
      </c>
      <c r="C605" t="s">
        <v>36</v>
      </c>
      <c r="D605" t="s">
        <v>41</v>
      </c>
      <c r="E605" t="s">
        <v>42</v>
      </c>
      <c r="F605" t="s">
        <v>71</v>
      </c>
      <c r="G605" s="1">
        <v>120</v>
      </c>
      <c r="H605" s="1">
        <v>180</v>
      </c>
      <c r="I605">
        <v>410</v>
      </c>
      <c r="J605" s="2">
        <v>0.13</v>
      </c>
      <c r="K605" s="1">
        <v>73800</v>
      </c>
      <c r="L605" s="1">
        <v>9594</v>
      </c>
      <c r="M605" s="1">
        <v>64206</v>
      </c>
      <c r="N605" s="1">
        <v>49200</v>
      </c>
      <c r="O605" s="1">
        <v>15006</v>
      </c>
      <c r="P605">
        <v>1</v>
      </c>
      <c r="Q605">
        <v>10</v>
      </c>
      <c r="R605">
        <v>2014</v>
      </c>
      <c r="S605" s="3">
        <v>41913</v>
      </c>
      <c r="T605" t="str">
        <f t="shared" si="9"/>
        <v>Very High Discount</v>
      </c>
    </row>
    <row r="606" spans="1:20" x14ac:dyDescent="0.25">
      <c r="A606" t="s">
        <v>400</v>
      </c>
      <c r="B606" t="s">
        <v>35</v>
      </c>
      <c r="C606" t="s">
        <v>36</v>
      </c>
      <c r="D606" t="s">
        <v>49</v>
      </c>
      <c r="E606" t="s">
        <v>50</v>
      </c>
      <c r="F606" t="s">
        <v>71</v>
      </c>
      <c r="G606" s="1">
        <v>120</v>
      </c>
      <c r="H606" s="1">
        <v>180</v>
      </c>
      <c r="I606">
        <v>2605</v>
      </c>
      <c r="J606" s="2">
        <v>0.13</v>
      </c>
      <c r="K606" s="1">
        <v>468900</v>
      </c>
      <c r="L606" s="1">
        <v>60957</v>
      </c>
      <c r="M606" s="1">
        <v>407943</v>
      </c>
      <c r="N606" s="1">
        <v>312600</v>
      </c>
      <c r="O606" s="1">
        <v>95343</v>
      </c>
      <c r="P606">
        <v>1</v>
      </c>
      <c r="Q606">
        <v>11</v>
      </c>
      <c r="R606">
        <v>2013</v>
      </c>
      <c r="S606" s="3">
        <v>41579</v>
      </c>
      <c r="T606" t="str">
        <f t="shared" si="9"/>
        <v>Very High Discount</v>
      </c>
    </row>
    <row r="607" spans="1:20" x14ac:dyDescent="0.25">
      <c r="A607" t="s">
        <v>396</v>
      </c>
      <c r="B607" t="s">
        <v>26</v>
      </c>
      <c r="C607" t="s">
        <v>27</v>
      </c>
      <c r="D607" t="s">
        <v>41</v>
      </c>
      <c r="E607" t="s">
        <v>42</v>
      </c>
      <c r="F607" t="s">
        <v>71</v>
      </c>
      <c r="G607" s="1">
        <v>120</v>
      </c>
      <c r="H607" s="1">
        <v>180</v>
      </c>
      <c r="I607">
        <v>1013</v>
      </c>
      <c r="J607" s="2">
        <v>0.13</v>
      </c>
      <c r="K607" s="1">
        <v>182340</v>
      </c>
      <c r="L607" s="1">
        <v>23704.2</v>
      </c>
      <c r="M607" s="1">
        <v>158635.79999999999</v>
      </c>
      <c r="N607" s="1">
        <v>121560</v>
      </c>
      <c r="O607" s="1">
        <v>37075.799999999988</v>
      </c>
      <c r="P607">
        <v>1</v>
      </c>
      <c r="Q607">
        <v>12</v>
      </c>
      <c r="R607">
        <v>2014</v>
      </c>
      <c r="S607" s="3">
        <v>41974</v>
      </c>
      <c r="T607" t="str">
        <f t="shared" si="9"/>
        <v>Very High Discount</v>
      </c>
    </row>
    <row r="608" spans="1:20" x14ac:dyDescent="0.25">
      <c r="A608" t="s">
        <v>393</v>
      </c>
      <c r="B608" t="s">
        <v>20</v>
      </c>
      <c r="C608" t="s">
        <v>21</v>
      </c>
      <c r="D608" t="s">
        <v>46</v>
      </c>
      <c r="E608" t="s">
        <v>47</v>
      </c>
      <c r="F608" t="s">
        <v>76</v>
      </c>
      <c r="G608" s="1">
        <v>250</v>
      </c>
      <c r="H608" s="1">
        <v>300</v>
      </c>
      <c r="I608">
        <v>1583</v>
      </c>
      <c r="J608" s="2">
        <v>0.13</v>
      </c>
      <c r="K608" s="1">
        <v>474900</v>
      </c>
      <c r="L608" s="1">
        <v>61737</v>
      </c>
      <c r="M608" s="1">
        <v>413163</v>
      </c>
      <c r="N608" s="1">
        <v>395750</v>
      </c>
      <c r="O608" s="1">
        <v>17413</v>
      </c>
      <c r="P608">
        <v>1</v>
      </c>
      <c r="Q608">
        <v>6</v>
      </c>
      <c r="R608">
        <v>2014</v>
      </c>
      <c r="S608" s="3">
        <v>41791</v>
      </c>
      <c r="T608" t="str">
        <f t="shared" si="9"/>
        <v>Very High Discount</v>
      </c>
    </row>
    <row r="609" spans="1:20" x14ac:dyDescent="0.25">
      <c r="A609" t="s">
        <v>395</v>
      </c>
      <c r="B609" t="s">
        <v>20</v>
      </c>
      <c r="C609" t="s">
        <v>21</v>
      </c>
      <c r="D609" t="s">
        <v>31</v>
      </c>
      <c r="E609" t="s">
        <v>32</v>
      </c>
      <c r="F609" t="s">
        <v>76</v>
      </c>
      <c r="G609" s="1">
        <v>250</v>
      </c>
      <c r="H609" s="1">
        <v>300</v>
      </c>
      <c r="I609">
        <v>1565</v>
      </c>
      <c r="J609" s="2">
        <v>0.13</v>
      </c>
      <c r="K609" s="1">
        <v>469500</v>
      </c>
      <c r="L609" s="1">
        <v>61035</v>
      </c>
      <c r="M609" s="1">
        <v>408465</v>
      </c>
      <c r="N609" s="1">
        <v>391250</v>
      </c>
      <c r="O609" s="1">
        <v>17215</v>
      </c>
      <c r="P609">
        <v>1</v>
      </c>
      <c r="Q609">
        <v>10</v>
      </c>
      <c r="R609">
        <v>2014</v>
      </c>
      <c r="S609" s="3">
        <v>41913</v>
      </c>
      <c r="T609" t="str">
        <f t="shared" si="9"/>
        <v>Very High Discount</v>
      </c>
    </row>
    <row r="610" spans="1:20" x14ac:dyDescent="0.25">
      <c r="A610" t="s">
        <v>401</v>
      </c>
      <c r="B610" t="s">
        <v>20</v>
      </c>
      <c r="C610" t="s">
        <v>21</v>
      </c>
      <c r="D610" t="s">
        <v>46</v>
      </c>
      <c r="E610" t="s">
        <v>47</v>
      </c>
      <c r="F610" t="s">
        <v>81</v>
      </c>
      <c r="G610" s="1">
        <v>200</v>
      </c>
      <c r="H610" s="1">
        <v>350</v>
      </c>
      <c r="I610">
        <v>1659</v>
      </c>
      <c r="J610" s="2">
        <v>0.13</v>
      </c>
      <c r="K610" s="1">
        <v>580650</v>
      </c>
      <c r="L610" s="1">
        <v>75484.5</v>
      </c>
      <c r="M610" s="1">
        <v>505165.5</v>
      </c>
      <c r="N610" s="1">
        <v>331800</v>
      </c>
      <c r="O610" s="1">
        <v>173365.5</v>
      </c>
      <c r="P610">
        <v>1</v>
      </c>
      <c r="Q610">
        <v>1</v>
      </c>
      <c r="R610">
        <v>2014</v>
      </c>
      <c r="S610" s="3">
        <v>41640</v>
      </c>
      <c r="T610" t="str">
        <f t="shared" si="9"/>
        <v>Very High Discount</v>
      </c>
    </row>
    <row r="611" spans="1:20" x14ac:dyDescent="0.25">
      <c r="A611" t="s">
        <v>43</v>
      </c>
      <c r="B611" t="s">
        <v>29</v>
      </c>
      <c r="C611" t="s">
        <v>30</v>
      </c>
      <c r="D611" t="s">
        <v>22</v>
      </c>
      <c r="E611" t="s">
        <v>23</v>
      </c>
      <c r="F611" t="s">
        <v>81</v>
      </c>
      <c r="G611" s="1">
        <v>200</v>
      </c>
      <c r="H611" s="1">
        <v>350</v>
      </c>
      <c r="I611">
        <v>1190</v>
      </c>
      <c r="J611" s="2">
        <v>0.13</v>
      </c>
      <c r="K611" s="1">
        <v>416500</v>
      </c>
      <c r="L611" s="1">
        <v>54145</v>
      </c>
      <c r="M611" s="1">
        <v>362355</v>
      </c>
      <c r="N611" s="1">
        <v>238000</v>
      </c>
      <c r="O611" s="1">
        <v>124355</v>
      </c>
      <c r="P611">
        <v>1</v>
      </c>
      <c r="Q611">
        <v>6</v>
      </c>
      <c r="R611">
        <v>2014</v>
      </c>
      <c r="S611" s="3">
        <v>41791</v>
      </c>
      <c r="T611" t="str">
        <f t="shared" si="9"/>
        <v>Very High Discount</v>
      </c>
    </row>
    <row r="612" spans="1:20" x14ac:dyDescent="0.25">
      <c r="A612" t="s">
        <v>399</v>
      </c>
      <c r="B612" t="s">
        <v>35</v>
      </c>
      <c r="C612" t="s">
        <v>36</v>
      </c>
      <c r="D612" t="s">
        <v>41</v>
      </c>
      <c r="E612" t="s">
        <v>42</v>
      </c>
      <c r="F612" t="s">
        <v>81</v>
      </c>
      <c r="G612" s="1">
        <v>200</v>
      </c>
      <c r="H612" s="1">
        <v>350</v>
      </c>
      <c r="I612">
        <v>410</v>
      </c>
      <c r="J612" s="2">
        <v>0.13</v>
      </c>
      <c r="K612" s="1">
        <v>143500</v>
      </c>
      <c r="L612" s="1">
        <v>18655</v>
      </c>
      <c r="M612" s="1">
        <v>124845</v>
      </c>
      <c r="N612" s="1">
        <v>82000</v>
      </c>
      <c r="O612" s="1">
        <v>42845</v>
      </c>
      <c r="P612">
        <v>1</v>
      </c>
      <c r="Q612">
        <v>10</v>
      </c>
      <c r="R612">
        <v>2014</v>
      </c>
      <c r="S612" s="3">
        <v>41913</v>
      </c>
      <c r="T612" t="str">
        <f t="shared" si="9"/>
        <v>Very High Discount</v>
      </c>
    </row>
    <row r="613" spans="1:20" x14ac:dyDescent="0.25">
      <c r="A613" t="s">
        <v>402</v>
      </c>
      <c r="B613" t="s">
        <v>26</v>
      </c>
      <c r="C613" t="s">
        <v>27</v>
      </c>
      <c r="D613" t="s">
        <v>41</v>
      </c>
      <c r="E613" t="s">
        <v>42</v>
      </c>
      <c r="F613" t="s">
        <v>81</v>
      </c>
      <c r="G613" s="1">
        <v>200</v>
      </c>
      <c r="H613" s="1">
        <v>350</v>
      </c>
      <c r="I613">
        <v>1770</v>
      </c>
      <c r="J613" s="2">
        <v>0.13</v>
      </c>
      <c r="K613" s="1">
        <v>619500</v>
      </c>
      <c r="L613" s="1">
        <v>80535</v>
      </c>
      <c r="M613" s="1">
        <v>538965</v>
      </c>
      <c r="N613" s="1">
        <v>354000</v>
      </c>
      <c r="O613" s="1">
        <v>184965</v>
      </c>
      <c r="P613">
        <v>1</v>
      </c>
      <c r="Q613">
        <v>12</v>
      </c>
      <c r="R613">
        <v>2013</v>
      </c>
      <c r="S613" s="3">
        <v>41609</v>
      </c>
      <c r="T613" t="str">
        <f t="shared" si="9"/>
        <v>Very High Discount</v>
      </c>
    </row>
    <row r="614" spans="1:20" x14ac:dyDescent="0.25">
      <c r="A614" t="s">
        <v>233</v>
      </c>
      <c r="B614" t="s">
        <v>35</v>
      </c>
      <c r="C614" t="s">
        <v>36</v>
      </c>
      <c r="D614" t="s">
        <v>22</v>
      </c>
      <c r="E614" t="s">
        <v>23</v>
      </c>
      <c r="F614" t="s">
        <v>24</v>
      </c>
      <c r="G614" s="1">
        <v>3</v>
      </c>
      <c r="H614" s="1">
        <v>20</v>
      </c>
      <c r="I614">
        <v>2579</v>
      </c>
      <c r="J614" s="2">
        <v>0.13999999999999999</v>
      </c>
      <c r="K614" s="1">
        <v>51580</v>
      </c>
      <c r="L614" s="1">
        <v>7221.1999999999989</v>
      </c>
      <c r="M614" s="1">
        <v>44358.8</v>
      </c>
      <c r="N614" s="1">
        <v>7737</v>
      </c>
      <c r="O614" s="1">
        <v>36621.800000000003</v>
      </c>
      <c r="P614">
        <v>1</v>
      </c>
      <c r="Q614">
        <v>4</v>
      </c>
      <c r="R614">
        <v>2014</v>
      </c>
      <c r="S614" s="3">
        <v>41730</v>
      </c>
      <c r="T614" t="str">
        <f t="shared" si="9"/>
        <v>Very High Discount</v>
      </c>
    </row>
    <row r="615" spans="1:20" x14ac:dyDescent="0.25">
      <c r="A615" t="s">
        <v>212</v>
      </c>
      <c r="B615" t="s">
        <v>54</v>
      </c>
      <c r="C615" t="s">
        <v>55</v>
      </c>
      <c r="D615" t="s">
        <v>22</v>
      </c>
      <c r="E615" t="s">
        <v>23</v>
      </c>
      <c r="F615" t="s">
        <v>24</v>
      </c>
      <c r="G615" s="1">
        <v>3</v>
      </c>
      <c r="H615" s="1">
        <v>20</v>
      </c>
      <c r="I615">
        <v>1743</v>
      </c>
      <c r="J615" s="2">
        <v>0.13999999999999999</v>
      </c>
      <c r="K615" s="1">
        <v>34860</v>
      </c>
      <c r="L615" s="1">
        <v>4880.3999999999996</v>
      </c>
      <c r="M615" s="1">
        <v>29979.599999999999</v>
      </c>
      <c r="N615" s="1">
        <v>5229</v>
      </c>
      <c r="O615" s="1">
        <v>24750.6</v>
      </c>
      <c r="P615">
        <v>1</v>
      </c>
      <c r="Q615">
        <v>5</v>
      </c>
      <c r="R615">
        <v>2014</v>
      </c>
      <c r="S615" s="3">
        <v>41760</v>
      </c>
      <c r="T615" t="str">
        <f t="shared" si="9"/>
        <v>Very High Discount</v>
      </c>
    </row>
    <row r="616" spans="1:20" x14ac:dyDescent="0.25">
      <c r="A616" t="s">
        <v>237</v>
      </c>
      <c r="B616" t="s">
        <v>54</v>
      </c>
      <c r="C616" t="s">
        <v>55</v>
      </c>
      <c r="D616" t="s">
        <v>22</v>
      </c>
      <c r="E616" t="s">
        <v>23</v>
      </c>
      <c r="F616" t="s">
        <v>24</v>
      </c>
      <c r="G616" s="1">
        <v>3</v>
      </c>
      <c r="H616" s="1">
        <v>20</v>
      </c>
      <c r="I616">
        <v>2996</v>
      </c>
      <c r="J616" s="2">
        <v>0.13999999999999999</v>
      </c>
      <c r="K616" s="1">
        <v>59920</v>
      </c>
      <c r="L616" s="1">
        <v>8388.7999999999993</v>
      </c>
      <c r="M616" s="1">
        <v>51531.199999999997</v>
      </c>
      <c r="N616" s="1">
        <v>8988</v>
      </c>
      <c r="O616" s="1">
        <v>42543.199999999997</v>
      </c>
      <c r="P616">
        <v>1</v>
      </c>
      <c r="Q616">
        <v>10</v>
      </c>
      <c r="R616">
        <v>2013</v>
      </c>
      <c r="S616" s="3">
        <v>41548</v>
      </c>
      <c r="T616" t="str">
        <f t="shared" si="9"/>
        <v>Very High Discount</v>
      </c>
    </row>
    <row r="617" spans="1:20" x14ac:dyDescent="0.25">
      <c r="A617" t="s">
        <v>37</v>
      </c>
      <c r="B617" t="s">
        <v>26</v>
      </c>
      <c r="C617" t="s">
        <v>27</v>
      </c>
      <c r="D617" t="s">
        <v>22</v>
      </c>
      <c r="E617" t="s">
        <v>23</v>
      </c>
      <c r="F617" t="s">
        <v>24</v>
      </c>
      <c r="G617" s="1">
        <v>3</v>
      </c>
      <c r="H617" s="1">
        <v>20</v>
      </c>
      <c r="I617">
        <v>280</v>
      </c>
      <c r="J617" s="2">
        <v>0.13999999999999999</v>
      </c>
      <c r="K617" s="1">
        <v>5600</v>
      </c>
      <c r="L617" s="1">
        <v>783.99999999999989</v>
      </c>
      <c r="M617" s="1">
        <v>4816</v>
      </c>
      <c r="N617" s="1">
        <v>840</v>
      </c>
      <c r="O617" s="1">
        <v>3976</v>
      </c>
      <c r="P617">
        <v>1</v>
      </c>
      <c r="Q617">
        <v>12</v>
      </c>
      <c r="R617">
        <v>2014</v>
      </c>
      <c r="S617" s="3">
        <v>41974</v>
      </c>
      <c r="T617" t="str">
        <f t="shared" si="9"/>
        <v>Very High Discount</v>
      </c>
    </row>
    <row r="618" spans="1:20" x14ac:dyDescent="0.25">
      <c r="A618" t="s">
        <v>80</v>
      </c>
      <c r="B618" t="s">
        <v>29</v>
      </c>
      <c r="C618" t="s">
        <v>30</v>
      </c>
      <c r="D618" t="s">
        <v>22</v>
      </c>
      <c r="E618" t="s">
        <v>23</v>
      </c>
      <c r="F618" t="s">
        <v>39</v>
      </c>
      <c r="G618" s="1">
        <v>5</v>
      </c>
      <c r="H618" s="1">
        <v>15</v>
      </c>
      <c r="I618">
        <v>293</v>
      </c>
      <c r="J618" s="2">
        <v>0.13999999999999999</v>
      </c>
      <c r="K618" s="1">
        <v>4395</v>
      </c>
      <c r="L618" s="1">
        <v>615.29999999999995</v>
      </c>
      <c r="M618" s="1">
        <v>3779.7</v>
      </c>
      <c r="N618" s="1">
        <v>1465</v>
      </c>
      <c r="O618" s="1">
        <v>2314.6999999999998</v>
      </c>
      <c r="P618">
        <v>1</v>
      </c>
      <c r="Q618">
        <v>2</v>
      </c>
      <c r="R618">
        <v>2014</v>
      </c>
      <c r="S618" s="3">
        <v>41671</v>
      </c>
      <c r="T618" t="str">
        <f t="shared" si="9"/>
        <v>Very High Discount</v>
      </c>
    </row>
    <row r="619" spans="1:20" x14ac:dyDescent="0.25">
      <c r="A619" t="s">
        <v>237</v>
      </c>
      <c r="B619" t="s">
        <v>54</v>
      </c>
      <c r="C619" t="s">
        <v>55</v>
      </c>
      <c r="D619" t="s">
        <v>22</v>
      </c>
      <c r="E619" t="s">
        <v>23</v>
      </c>
      <c r="F619" t="s">
        <v>39</v>
      </c>
      <c r="G619" s="1">
        <v>5</v>
      </c>
      <c r="H619" s="1">
        <v>15</v>
      </c>
      <c r="I619">
        <v>2996</v>
      </c>
      <c r="J619" s="2">
        <v>0.13999999999999999</v>
      </c>
      <c r="K619" s="1">
        <v>44940</v>
      </c>
      <c r="L619" s="1">
        <v>6291.5999999999995</v>
      </c>
      <c r="M619" s="1">
        <v>38648.400000000001</v>
      </c>
      <c r="N619" s="1">
        <v>14980</v>
      </c>
      <c r="O619" s="1">
        <v>23668.400000000001</v>
      </c>
      <c r="P619">
        <v>1</v>
      </c>
      <c r="Q619">
        <v>10</v>
      </c>
      <c r="R619">
        <v>2013</v>
      </c>
      <c r="S619" s="3">
        <v>41548</v>
      </c>
      <c r="T619" t="str">
        <f t="shared" si="9"/>
        <v>Very High Discount</v>
      </c>
    </row>
    <row r="620" spans="1:20" x14ac:dyDescent="0.25">
      <c r="A620" t="s">
        <v>403</v>
      </c>
      <c r="B620" t="s">
        <v>26</v>
      </c>
      <c r="C620" t="s">
        <v>27</v>
      </c>
      <c r="D620" t="s">
        <v>31</v>
      </c>
      <c r="E620" t="s">
        <v>32</v>
      </c>
      <c r="F620" t="s">
        <v>57</v>
      </c>
      <c r="G620" s="1">
        <v>10</v>
      </c>
      <c r="H620" s="1">
        <v>20</v>
      </c>
      <c r="I620">
        <v>278</v>
      </c>
      <c r="J620" s="2">
        <v>0.13999999999999999</v>
      </c>
      <c r="K620" s="1">
        <v>5560</v>
      </c>
      <c r="L620" s="1">
        <v>778.39999999999986</v>
      </c>
      <c r="M620" s="1">
        <v>4781.6000000000004</v>
      </c>
      <c r="N620" s="1">
        <v>2780</v>
      </c>
      <c r="O620" s="1">
        <v>2001.6000000000004</v>
      </c>
      <c r="P620">
        <v>1</v>
      </c>
      <c r="Q620">
        <v>2</v>
      </c>
      <c r="R620">
        <v>2014</v>
      </c>
      <c r="S620" s="3">
        <v>41671</v>
      </c>
      <c r="T620" t="str">
        <f t="shared" si="9"/>
        <v>Very High Discount</v>
      </c>
    </row>
    <row r="621" spans="1:20" x14ac:dyDescent="0.25">
      <c r="A621" t="s">
        <v>90</v>
      </c>
      <c r="B621" t="s">
        <v>20</v>
      </c>
      <c r="C621" t="s">
        <v>21</v>
      </c>
      <c r="D621" t="s">
        <v>22</v>
      </c>
      <c r="E621" t="s">
        <v>23</v>
      </c>
      <c r="F621" t="s">
        <v>57</v>
      </c>
      <c r="G621" s="1">
        <v>10</v>
      </c>
      <c r="H621" s="1">
        <v>20</v>
      </c>
      <c r="I621">
        <v>2428</v>
      </c>
      <c r="J621" s="2">
        <v>0.13999999999999999</v>
      </c>
      <c r="K621" s="1">
        <v>48560</v>
      </c>
      <c r="L621" s="1">
        <v>6798.4</v>
      </c>
      <c r="M621" s="1">
        <v>41761.599999999999</v>
      </c>
      <c r="N621" s="1">
        <v>24280</v>
      </c>
      <c r="O621" s="1">
        <v>17481.599999999999</v>
      </c>
      <c r="P621">
        <v>1</v>
      </c>
      <c r="Q621">
        <v>3</v>
      </c>
      <c r="R621">
        <v>2014</v>
      </c>
      <c r="S621" s="3">
        <v>41699</v>
      </c>
      <c r="T621" t="str">
        <f t="shared" si="9"/>
        <v>Very High Discount</v>
      </c>
    </row>
    <row r="622" spans="1:20" x14ac:dyDescent="0.25">
      <c r="A622" t="s">
        <v>404</v>
      </c>
      <c r="B622" t="s">
        <v>54</v>
      </c>
      <c r="C622" t="s">
        <v>55</v>
      </c>
      <c r="D622" t="s">
        <v>31</v>
      </c>
      <c r="E622" t="s">
        <v>32</v>
      </c>
      <c r="F622" t="s">
        <v>57</v>
      </c>
      <c r="G622" s="1">
        <v>10</v>
      </c>
      <c r="H622" s="1">
        <v>20</v>
      </c>
      <c r="I622">
        <v>1767</v>
      </c>
      <c r="J622" s="2">
        <v>0.13999999999999999</v>
      </c>
      <c r="K622" s="1">
        <v>35340</v>
      </c>
      <c r="L622" s="1">
        <v>4947.5999999999995</v>
      </c>
      <c r="M622" s="1">
        <v>30392.400000000001</v>
      </c>
      <c r="N622" s="1">
        <v>17670</v>
      </c>
      <c r="O622" s="1">
        <v>12722.400000000001</v>
      </c>
      <c r="P622">
        <v>1</v>
      </c>
      <c r="Q622">
        <v>9</v>
      </c>
      <c r="R622">
        <v>2014</v>
      </c>
      <c r="S622" s="3">
        <v>41883</v>
      </c>
      <c r="T622" t="str">
        <f t="shared" si="9"/>
        <v>Very High Discount</v>
      </c>
    </row>
    <row r="623" spans="1:20" x14ac:dyDescent="0.25">
      <c r="A623" t="s">
        <v>405</v>
      </c>
      <c r="B623" t="s">
        <v>29</v>
      </c>
      <c r="C623" t="s">
        <v>30</v>
      </c>
      <c r="D623" t="s">
        <v>41</v>
      </c>
      <c r="E623" t="s">
        <v>42</v>
      </c>
      <c r="F623" t="s">
        <v>57</v>
      </c>
      <c r="G623" s="1">
        <v>10</v>
      </c>
      <c r="H623" s="1">
        <v>20</v>
      </c>
      <c r="I623">
        <v>1393</v>
      </c>
      <c r="J623" s="2">
        <v>0.13999999999999999</v>
      </c>
      <c r="K623" s="1">
        <v>27860</v>
      </c>
      <c r="L623" s="1">
        <v>3900.3999999999996</v>
      </c>
      <c r="M623" s="1">
        <v>23959.599999999999</v>
      </c>
      <c r="N623" s="1">
        <v>13930</v>
      </c>
      <c r="O623" s="1">
        <v>10029.599999999999</v>
      </c>
      <c r="P623">
        <v>1</v>
      </c>
      <c r="Q623">
        <v>10</v>
      </c>
      <c r="R623">
        <v>2014</v>
      </c>
      <c r="S623" s="3">
        <v>41913</v>
      </c>
      <c r="T623" t="str">
        <f t="shared" si="9"/>
        <v>Very High Discount</v>
      </c>
    </row>
    <row r="624" spans="1:20" x14ac:dyDescent="0.25">
      <c r="A624" t="s">
        <v>37</v>
      </c>
      <c r="B624" t="s">
        <v>26</v>
      </c>
      <c r="C624" t="s">
        <v>27</v>
      </c>
      <c r="D624" t="s">
        <v>22</v>
      </c>
      <c r="E624" t="s">
        <v>23</v>
      </c>
      <c r="F624" t="s">
        <v>76</v>
      </c>
      <c r="G624" s="1">
        <v>250</v>
      </c>
      <c r="H624" s="1">
        <v>300</v>
      </c>
      <c r="I624">
        <v>280</v>
      </c>
      <c r="J624" s="2">
        <v>0.13999999999999999</v>
      </c>
      <c r="K624" s="1">
        <v>84000</v>
      </c>
      <c r="L624" s="1">
        <v>11759.999999999998</v>
      </c>
      <c r="M624" s="1">
        <v>72240</v>
      </c>
      <c r="N624" s="1">
        <v>70000</v>
      </c>
      <c r="O624" s="1">
        <v>2240</v>
      </c>
      <c r="P624">
        <v>1</v>
      </c>
      <c r="Q624">
        <v>12</v>
      </c>
      <c r="R624">
        <v>2014</v>
      </c>
      <c r="S624" s="3">
        <v>41974</v>
      </c>
      <c r="T624" t="str">
        <f t="shared" si="9"/>
        <v>Very High Discount</v>
      </c>
    </row>
    <row r="625" spans="1:20" x14ac:dyDescent="0.25">
      <c r="A625" t="s">
        <v>405</v>
      </c>
      <c r="B625" t="s">
        <v>29</v>
      </c>
      <c r="C625" t="s">
        <v>30</v>
      </c>
      <c r="D625" t="s">
        <v>41</v>
      </c>
      <c r="E625" t="s">
        <v>42</v>
      </c>
      <c r="F625" t="s">
        <v>81</v>
      </c>
      <c r="G625" s="1">
        <v>200</v>
      </c>
      <c r="H625" s="1">
        <v>350</v>
      </c>
      <c r="I625">
        <v>1393</v>
      </c>
      <c r="J625" s="2">
        <v>0.13999999999999999</v>
      </c>
      <c r="K625" s="1">
        <v>487550</v>
      </c>
      <c r="L625" s="1">
        <v>68257</v>
      </c>
      <c r="M625" s="1">
        <v>419293</v>
      </c>
      <c r="N625" s="1">
        <v>278600</v>
      </c>
      <c r="O625" s="1">
        <v>140693</v>
      </c>
      <c r="P625">
        <v>1</v>
      </c>
      <c r="Q625">
        <v>10</v>
      </c>
      <c r="R625">
        <v>2014</v>
      </c>
      <c r="S625" s="3">
        <v>41913</v>
      </c>
      <c r="T625" t="str">
        <f t="shared" si="9"/>
        <v>Very High Discount</v>
      </c>
    </row>
    <row r="626" spans="1:20" x14ac:dyDescent="0.25">
      <c r="A626" t="s">
        <v>406</v>
      </c>
      <c r="B626" t="s">
        <v>54</v>
      </c>
      <c r="C626" t="s">
        <v>55</v>
      </c>
      <c r="D626" t="s">
        <v>41</v>
      </c>
      <c r="E626" t="s">
        <v>42</v>
      </c>
      <c r="F626" t="s">
        <v>81</v>
      </c>
      <c r="G626" s="1">
        <v>200</v>
      </c>
      <c r="H626" s="1">
        <v>350</v>
      </c>
      <c r="I626">
        <v>2015</v>
      </c>
      <c r="J626" s="2">
        <v>0.13999999999999999</v>
      </c>
      <c r="K626" s="1">
        <v>705250</v>
      </c>
      <c r="L626" s="1">
        <v>98734.999999999985</v>
      </c>
      <c r="M626" s="1">
        <v>606515</v>
      </c>
      <c r="N626" s="1">
        <v>403000</v>
      </c>
      <c r="O626" s="1">
        <v>203515</v>
      </c>
      <c r="P626">
        <v>1</v>
      </c>
      <c r="Q626">
        <v>12</v>
      </c>
      <c r="R626">
        <v>2013</v>
      </c>
      <c r="S626" s="3">
        <v>41609</v>
      </c>
      <c r="T626" t="str">
        <f t="shared" si="9"/>
        <v>Very High Discount</v>
      </c>
    </row>
    <row r="627" spans="1:20" x14ac:dyDescent="0.25">
      <c r="A627" t="s">
        <v>407</v>
      </c>
      <c r="B627" t="s">
        <v>35</v>
      </c>
      <c r="C627" t="s">
        <v>36</v>
      </c>
      <c r="D627" t="s">
        <v>49</v>
      </c>
      <c r="E627" t="s">
        <v>50</v>
      </c>
      <c r="F627" t="s">
        <v>24</v>
      </c>
      <c r="G627" s="1">
        <v>3</v>
      </c>
      <c r="H627" s="1">
        <v>20</v>
      </c>
      <c r="I627">
        <v>801</v>
      </c>
      <c r="J627" s="2">
        <v>0.14000000000000001</v>
      </c>
      <c r="K627" s="1">
        <v>16020</v>
      </c>
      <c r="L627" s="1">
        <v>2242.8000000000002</v>
      </c>
      <c r="M627" s="1">
        <v>13777.2</v>
      </c>
      <c r="N627" s="1">
        <v>2403</v>
      </c>
      <c r="O627" s="1">
        <v>11374.2</v>
      </c>
      <c r="P627">
        <v>1</v>
      </c>
      <c r="Q627">
        <v>7</v>
      </c>
      <c r="R627">
        <v>2014</v>
      </c>
      <c r="S627" s="3">
        <v>41821</v>
      </c>
      <c r="T627" t="str">
        <f t="shared" si="9"/>
        <v>Very High Discount</v>
      </c>
    </row>
    <row r="628" spans="1:20" x14ac:dyDescent="0.25">
      <c r="A628" t="s">
        <v>408</v>
      </c>
      <c r="B628" t="s">
        <v>29</v>
      </c>
      <c r="C628" t="s">
        <v>30</v>
      </c>
      <c r="D628" t="s">
        <v>46</v>
      </c>
      <c r="E628" t="s">
        <v>47</v>
      </c>
      <c r="F628" t="s">
        <v>24</v>
      </c>
      <c r="G628" s="1">
        <v>3</v>
      </c>
      <c r="H628" s="1">
        <v>20</v>
      </c>
      <c r="I628">
        <v>1023</v>
      </c>
      <c r="J628" s="2">
        <v>0.14000000000000001</v>
      </c>
      <c r="K628" s="1">
        <v>20460</v>
      </c>
      <c r="L628" s="1">
        <v>2864.4</v>
      </c>
      <c r="M628" s="1">
        <v>17595.599999999999</v>
      </c>
      <c r="N628" s="1">
        <v>3069</v>
      </c>
      <c r="O628" s="1">
        <v>14526.599999999999</v>
      </c>
      <c r="P628">
        <v>1</v>
      </c>
      <c r="Q628">
        <v>9</v>
      </c>
      <c r="R628">
        <v>2013</v>
      </c>
      <c r="S628" s="3">
        <v>41518</v>
      </c>
      <c r="T628" t="str">
        <f t="shared" si="9"/>
        <v>Very High Discount</v>
      </c>
    </row>
    <row r="629" spans="1:20" x14ac:dyDescent="0.25">
      <c r="A629" t="s">
        <v>409</v>
      </c>
      <c r="B629" t="s">
        <v>20</v>
      </c>
      <c r="C629" t="s">
        <v>21</v>
      </c>
      <c r="D629" t="s">
        <v>49</v>
      </c>
      <c r="E629" t="s">
        <v>50</v>
      </c>
      <c r="F629" t="s">
        <v>24</v>
      </c>
      <c r="G629" s="1">
        <v>3</v>
      </c>
      <c r="H629" s="1">
        <v>20</v>
      </c>
      <c r="I629">
        <v>1496</v>
      </c>
      <c r="J629" s="2">
        <v>0.14000000000000001</v>
      </c>
      <c r="K629" s="1">
        <v>29920</v>
      </c>
      <c r="L629" s="1">
        <v>4188.8</v>
      </c>
      <c r="M629" s="1">
        <v>25731.200000000001</v>
      </c>
      <c r="N629" s="1">
        <v>4488</v>
      </c>
      <c r="O629" s="1">
        <v>21243.200000000001</v>
      </c>
      <c r="P629">
        <v>1</v>
      </c>
      <c r="Q629">
        <v>10</v>
      </c>
      <c r="R629">
        <v>2014</v>
      </c>
      <c r="S629" s="3">
        <v>41913</v>
      </c>
      <c r="T629" t="str">
        <f t="shared" si="9"/>
        <v>Very High Discount</v>
      </c>
    </row>
    <row r="630" spans="1:20" x14ac:dyDescent="0.25">
      <c r="A630" t="s">
        <v>410</v>
      </c>
      <c r="B630" t="s">
        <v>54</v>
      </c>
      <c r="C630" t="s">
        <v>55</v>
      </c>
      <c r="D630" t="s">
        <v>49</v>
      </c>
      <c r="E630" t="s">
        <v>50</v>
      </c>
      <c r="F630" t="s">
        <v>24</v>
      </c>
      <c r="G630" s="1">
        <v>3</v>
      </c>
      <c r="H630" s="1">
        <v>20</v>
      </c>
      <c r="I630">
        <v>1010</v>
      </c>
      <c r="J630" s="2">
        <v>0.14000000000000001</v>
      </c>
      <c r="K630" s="1">
        <v>20200</v>
      </c>
      <c r="L630" s="1">
        <v>2828.0000000000005</v>
      </c>
      <c r="M630" s="1">
        <v>17372</v>
      </c>
      <c r="N630" s="1">
        <v>3030</v>
      </c>
      <c r="O630" s="1">
        <v>14342</v>
      </c>
      <c r="P630">
        <v>1</v>
      </c>
      <c r="Q630">
        <v>10</v>
      </c>
      <c r="R630">
        <v>2014</v>
      </c>
      <c r="S630" s="3">
        <v>41913</v>
      </c>
      <c r="T630" t="str">
        <f t="shared" si="9"/>
        <v>Very High Discount</v>
      </c>
    </row>
    <row r="631" spans="1:20" x14ac:dyDescent="0.25">
      <c r="A631" t="s">
        <v>411</v>
      </c>
      <c r="B631" t="s">
        <v>26</v>
      </c>
      <c r="C631" t="s">
        <v>27</v>
      </c>
      <c r="D631" t="s">
        <v>31</v>
      </c>
      <c r="E631" t="s">
        <v>32</v>
      </c>
      <c r="F631" t="s">
        <v>24</v>
      </c>
      <c r="G631" s="1">
        <v>3</v>
      </c>
      <c r="H631" s="1">
        <v>20</v>
      </c>
      <c r="I631">
        <v>1513</v>
      </c>
      <c r="J631" s="2">
        <v>0.14000000000000001</v>
      </c>
      <c r="K631" s="1">
        <v>30260</v>
      </c>
      <c r="L631" s="1">
        <v>4236.4000000000005</v>
      </c>
      <c r="M631" s="1">
        <v>26023.599999999999</v>
      </c>
      <c r="N631" s="1">
        <v>4539</v>
      </c>
      <c r="O631" s="1">
        <v>21484.6</v>
      </c>
      <c r="P631">
        <v>1</v>
      </c>
      <c r="Q631">
        <v>11</v>
      </c>
      <c r="R631">
        <v>2014</v>
      </c>
      <c r="S631" s="3">
        <v>41944</v>
      </c>
      <c r="T631" t="str">
        <f t="shared" si="9"/>
        <v>Very High Discount</v>
      </c>
    </row>
    <row r="632" spans="1:20" x14ac:dyDescent="0.25">
      <c r="A632" t="s">
        <v>412</v>
      </c>
      <c r="B632" t="s">
        <v>20</v>
      </c>
      <c r="C632" t="s">
        <v>21</v>
      </c>
      <c r="D632" t="s">
        <v>31</v>
      </c>
      <c r="E632" t="s">
        <v>32</v>
      </c>
      <c r="F632" t="s">
        <v>24</v>
      </c>
      <c r="G632" s="1">
        <v>3</v>
      </c>
      <c r="H632" s="1">
        <v>20</v>
      </c>
      <c r="I632">
        <v>2300</v>
      </c>
      <c r="J632" s="2">
        <v>0.14000000000000001</v>
      </c>
      <c r="K632" s="1">
        <v>46000</v>
      </c>
      <c r="L632" s="1">
        <v>6440.0000000000009</v>
      </c>
      <c r="M632" s="1">
        <v>39560</v>
      </c>
      <c r="N632" s="1">
        <v>6900</v>
      </c>
      <c r="O632" s="1">
        <v>32660</v>
      </c>
      <c r="P632">
        <v>1</v>
      </c>
      <c r="Q632">
        <v>12</v>
      </c>
      <c r="R632">
        <v>2014</v>
      </c>
      <c r="S632" s="3">
        <v>41974</v>
      </c>
      <c r="T632" t="str">
        <f t="shared" si="9"/>
        <v>Very High Discount</v>
      </c>
    </row>
    <row r="633" spans="1:20" x14ac:dyDescent="0.25">
      <c r="A633" t="s">
        <v>413</v>
      </c>
      <c r="B633" t="s">
        <v>35</v>
      </c>
      <c r="C633" t="s">
        <v>36</v>
      </c>
      <c r="D633" t="s">
        <v>46</v>
      </c>
      <c r="E633" t="s">
        <v>47</v>
      </c>
      <c r="F633" t="s">
        <v>24</v>
      </c>
      <c r="G633" s="1">
        <v>3</v>
      </c>
      <c r="H633" s="1">
        <v>20</v>
      </c>
      <c r="I633">
        <v>2821</v>
      </c>
      <c r="J633" s="2">
        <v>0.14000000000000001</v>
      </c>
      <c r="K633" s="1">
        <v>56420</v>
      </c>
      <c r="L633" s="1">
        <v>7898.8000000000011</v>
      </c>
      <c r="M633" s="1">
        <v>48521.2</v>
      </c>
      <c r="N633" s="1">
        <v>8463</v>
      </c>
      <c r="O633" s="1">
        <v>40058.199999999997</v>
      </c>
      <c r="P633">
        <v>1</v>
      </c>
      <c r="Q633">
        <v>12</v>
      </c>
      <c r="R633">
        <v>2013</v>
      </c>
      <c r="S633" s="3">
        <v>41609</v>
      </c>
      <c r="T633" t="str">
        <f t="shared" si="9"/>
        <v>Very High Discount</v>
      </c>
    </row>
    <row r="634" spans="1:20" x14ac:dyDescent="0.25">
      <c r="A634" t="s">
        <v>19</v>
      </c>
      <c r="B634" t="s">
        <v>20</v>
      </c>
      <c r="C634" t="s">
        <v>21</v>
      </c>
      <c r="D634" t="s">
        <v>22</v>
      </c>
      <c r="E634" t="s">
        <v>23</v>
      </c>
      <c r="F634" t="s">
        <v>39</v>
      </c>
      <c r="G634" s="1">
        <v>5</v>
      </c>
      <c r="H634" s="1">
        <v>15</v>
      </c>
      <c r="I634">
        <v>2227</v>
      </c>
      <c r="J634" s="2">
        <v>0.14003143242029636</v>
      </c>
      <c r="K634" s="1">
        <v>33405</v>
      </c>
      <c r="L634" s="1">
        <v>4677.75</v>
      </c>
      <c r="M634" s="1">
        <v>28727.25</v>
      </c>
      <c r="N634" s="1">
        <v>11135</v>
      </c>
      <c r="O634" s="1">
        <v>17592.25</v>
      </c>
      <c r="P634">
        <v>1</v>
      </c>
      <c r="Q634">
        <v>1</v>
      </c>
      <c r="R634">
        <v>2014</v>
      </c>
      <c r="S634" s="3">
        <v>41640</v>
      </c>
      <c r="T634" t="str">
        <f t="shared" si="9"/>
        <v>Very High Discount</v>
      </c>
    </row>
    <row r="635" spans="1:20" x14ac:dyDescent="0.25">
      <c r="A635" t="s">
        <v>151</v>
      </c>
      <c r="B635" t="s">
        <v>26</v>
      </c>
      <c r="C635" t="s">
        <v>27</v>
      </c>
      <c r="D635" t="s">
        <v>22</v>
      </c>
      <c r="E635" t="s">
        <v>23</v>
      </c>
      <c r="F635" t="s">
        <v>39</v>
      </c>
      <c r="G635" s="1">
        <v>5</v>
      </c>
      <c r="H635" s="1">
        <v>15</v>
      </c>
      <c r="I635">
        <v>1199</v>
      </c>
      <c r="J635" s="2">
        <v>0.14000000000000001</v>
      </c>
      <c r="K635" s="1">
        <v>17985</v>
      </c>
      <c r="L635" s="1">
        <v>2517.9</v>
      </c>
      <c r="M635" s="1">
        <v>15467.1</v>
      </c>
      <c r="N635" s="1">
        <v>5995</v>
      </c>
      <c r="O635" s="1">
        <v>9472.1</v>
      </c>
      <c r="P635">
        <v>1</v>
      </c>
      <c r="Q635">
        <v>4</v>
      </c>
      <c r="R635">
        <v>2014</v>
      </c>
      <c r="S635" s="3">
        <v>41730</v>
      </c>
      <c r="T635" t="str">
        <f t="shared" si="9"/>
        <v>Very High Discount</v>
      </c>
    </row>
    <row r="636" spans="1:20" x14ac:dyDescent="0.25">
      <c r="A636" t="s">
        <v>170</v>
      </c>
      <c r="B636" t="s">
        <v>20</v>
      </c>
      <c r="C636" t="s">
        <v>21</v>
      </c>
      <c r="D636" t="s">
        <v>22</v>
      </c>
      <c r="E636" t="s">
        <v>23</v>
      </c>
      <c r="F636" t="s">
        <v>39</v>
      </c>
      <c r="G636" s="1">
        <v>5</v>
      </c>
      <c r="H636" s="1">
        <v>15</v>
      </c>
      <c r="I636">
        <v>200</v>
      </c>
      <c r="J636" s="2">
        <v>0.14000000000000001</v>
      </c>
      <c r="K636" s="1">
        <v>3000</v>
      </c>
      <c r="L636" s="1">
        <v>420.00000000000006</v>
      </c>
      <c r="M636" s="1">
        <v>2580</v>
      </c>
      <c r="N636" s="1">
        <v>1000</v>
      </c>
      <c r="O636" s="1">
        <v>1580</v>
      </c>
      <c r="P636">
        <v>1</v>
      </c>
      <c r="Q636">
        <v>5</v>
      </c>
      <c r="R636">
        <v>2014</v>
      </c>
      <c r="S636" s="3">
        <v>41760</v>
      </c>
      <c r="T636" t="str">
        <f t="shared" si="9"/>
        <v>Very High Discount</v>
      </c>
    </row>
    <row r="637" spans="1:20" x14ac:dyDescent="0.25">
      <c r="A637" t="s">
        <v>187</v>
      </c>
      <c r="B637" t="s">
        <v>20</v>
      </c>
      <c r="C637" t="s">
        <v>21</v>
      </c>
      <c r="D637" t="s">
        <v>22</v>
      </c>
      <c r="E637" t="s">
        <v>23</v>
      </c>
      <c r="F637" t="s">
        <v>39</v>
      </c>
      <c r="G637" s="1">
        <v>5</v>
      </c>
      <c r="H637" s="1">
        <v>15</v>
      </c>
      <c r="I637">
        <v>388</v>
      </c>
      <c r="J637" s="2">
        <v>0.14000000000000001</v>
      </c>
      <c r="K637" s="1">
        <v>5820</v>
      </c>
      <c r="L637" s="1">
        <v>814.80000000000007</v>
      </c>
      <c r="M637" s="1">
        <v>5005.2</v>
      </c>
      <c r="N637" s="1">
        <v>1940</v>
      </c>
      <c r="O637" s="1">
        <v>3065.2</v>
      </c>
      <c r="P637">
        <v>1</v>
      </c>
      <c r="Q637">
        <v>9</v>
      </c>
      <c r="R637">
        <v>2014</v>
      </c>
      <c r="S637" s="3">
        <v>41883</v>
      </c>
      <c r="T637" t="str">
        <f t="shared" si="9"/>
        <v>Very High Discount</v>
      </c>
    </row>
    <row r="638" spans="1:20" x14ac:dyDescent="0.25">
      <c r="A638" t="s">
        <v>367</v>
      </c>
      <c r="B638" t="s">
        <v>35</v>
      </c>
      <c r="C638" t="s">
        <v>36</v>
      </c>
      <c r="D638" t="s">
        <v>22</v>
      </c>
      <c r="E638" t="s">
        <v>23</v>
      </c>
      <c r="F638" t="s">
        <v>39</v>
      </c>
      <c r="G638" s="1">
        <v>5</v>
      </c>
      <c r="H638" s="1">
        <v>15</v>
      </c>
      <c r="I638">
        <v>1727</v>
      </c>
      <c r="J638" s="2">
        <v>0.14000000000000001</v>
      </c>
      <c r="K638" s="1">
        <v>25905</v>
      </c>
      <c r="L638" s="1">
        <v>3626.7000000000003</v>
      </c>
      <c r="M638" s="1">
        <v>22278.3</v>
      </c>
      <c r="N638" s="1">
        <v>8635</v>
      </c>
      <c r="O638" s="1">
        <v>13643.3</v>
      </c>
      <c r="P638">
        <v>1</v>
      </c>
      <c r="Q638">
        <v>10</v>
      </c>
      <c r="R638">
        <v>2013</v>
      </c>
      <c r="S638" s="3">
        <v>41548</v>
      </c>
      <c r="T638" t="str">
        <f t="shared" si="9"/>
        <v>Very High Discount</v>
      </c>
    </row>
    <row r="639" spans="1:20" x14ac:dyDescent="0.25">
      <c r="A639" t="s">
        <v>412</v>
      </c>
      <c r="B639" t="s">
        <v>20</v>
      </c>
      <c r="C639" t="s">
        <v>21</v>
      </c>
      <c r="D639" t="s">
        <v>31</v>
      </c>
      <c r="E639" t="s">
        <v>32</v>
      </c>
      <c r="F639" t="s">
        <v>39</v>
      </c>
      <c r="G639" s="1">
        <v>5</v>
      </c>
      <c r="H639" s="1">
        <v>15</v>
      </c>
      <c r="I639">
        <v>2300</v>
      </c>
      <c r="J639" s="2">
        <v>0.14000000000000001</v>
      </c>
      <c r="K639" s="1">
        <v>34500</v>
      </c>
      <c r="L639" s="1">
        <v>4830.0000000000009</v>
      </c>
      <c r="M639" s="1">
        <v>29670</v>
      </c>
      <c r="N639" s="1">
        <v>11500</v>
      </c>
      <c r="O639" s="1">
        <v>18170</v>
      </c>
      <c r="P639">
        <v>1</v>
      </c>
      <c r="Q639">
        <v>12</v>
      </c>
      <c r="R639">
        <v>2014</v>
      </c>
      <c r="S639" s="3">
        <v>41974</v>
      </c>
      <c r="T639" t="str">
        <f t="shared" si="9"/>
        <v>Very High Discount</v>
      </c>
    </row>
    <row r="640" spans="1:20" x14ac:dyDescent="0.25">
      <c r="A640" t="s">
        <v>195</v>
      </c>
      <c r="B640" t="s">
        <v>35</v>
      </c>
      <c r="C640" t="s">
        <v>36</v>
      </c>
      <c r="D640" t="s">
        <v>22</v>
      </c>
      <c r="E640" t="s">
        <v>23</v>
      </c>
      <c r="F640" t="s">
        <v>57</v>
      </c>
      <c r="G640" s="1">
        <v>10</v>
      </c>
      <c r="H640" s="1">
        <v>20</v>
      </c>
      <c r="I640">
        <v>260</v>
      </c>
      <c r="J640" s="2">
        <v>0.14000000000000001</v>
      </c>
      <c r="K640" s="1">
        <v>5200</v>
      </c>
      <c r="L640" s="1">
        <v>728.00000000000011</v>
      </c>
      <c r="M640" s="1">
        <v>4472</v>
      </c>
      <c r="N640" s="1">
        <v>2600</v>
      </c>
      <c r="O640" s="1">
        <v>1872</v>
      </c>
      <c r="P640">
        <v>1</v>
      </c>
      <c r="Q640">
        <v>2</v>
      </c>
      <c r="R640">
        <v>2014</v>
      </c>
      <c r="S640" s="3">
        <v>41671</v>
      </c>
      <c r="T640" t="str">
        <f t="shared" si="9"/>
        <v>Very High Discount</v>
      </c>
    </row>
    <row r="641" spans="1:20" x14ac:dyDescent="0.25">
      <c r="A641" t="s">
        <v>414</v>
      </c>
      <c r="B641" t="s">
        <v>20</v>
      </c>
      <c r="C641" t="s">
        <v>21</v>
      </c>
      <c r="D641" t="s">
        <v>31</v>
      </c>
      <c r="E641" t="s">
        <v>32</v>
      </c>
      <c r="F641" t="s">
        <v>57</v>
      </c>
      <c r="G641" s="1">
        <v>10</v>
      </c>
      <c r="H641" s="1">
        <v>20</v>
      </c>
      <c r="I641">
        <v>2470</v>
      </c>
      <c r="J641" s="2">
        <v>0.14000000000000001</v>
      </c>
      <c r="K641" s="1">
        <v>49400</v>
      </c>
      <c r="L641" s="1">
        <v>6916.0000000000009</v>
      </c>
      <c r="M641" s="1">
        <v>42484</v>
      </c>
      <c r="N641" s="1">
        <v>24700</v>
      </c>
      <c r="O641" s="1">
        <v>17784</v>
      </c>
      <c r="P641">
        <v>1</v>
      </c>
      <c r="Q641">
        <v>9</v>
      </c>
      <c r="R641">
        <v>2013</v>
      </c>
      <c r="S641" s="3">
        <v>41518</v>
      </c>
      <c r="T641" t="str">
        <f t="shared" si="9"/>
        <v>Very High Discount</v>
      </c>
    </row>
    <row r="642" spans="1:20" x14ac:dyDescent="0.25">
      <c r="A642" t="s">
        <v>415</v>
      </c>
      <c r="B642" t="s">
        <v>20</v>
      </c>
      <c r="C642" t="s">
        <v>21</v>
      </c>
      <c r="D642" t="s">
        <v>31</v>
      </c>
      <c r="E642" t="s">
        <v>32</v>
      </c>
      <c r="F642" t="s">
        <v>57</v>
      </c>
      <c r="G642" s="1">
        <v>10</v>
      </c>
      <c r="H642" s="1">
        <v>20</v>
      </c>
      <c r="I642">
        <v>1743</v>
      </c>
      <c r="J642" s="2">
        <v>0.14000000000000001</v>
      </c>
      <c r="K642" s="1">
        <v>34860</v>
      </c>
      <c r="L642" s="1">
        <v>4880.4000000000005</v>
      </c>
      <c r="M642" s="1">
        <v>29979.599999999999</v>
      </c>
      <c r="N642" s="1">
        <v>17430</v>
      </c>
      <c r="O642" s="1">
        <v>12549.599999999999</v>
      </c>
      <c r="P642">
        <v>1</v>
      </c>
      <c r="Q642">
        <v>10</v>
      </c>
      <c r="R642">
        <v>2013</v>
      </c>
      <c r="S642" s="3">
        <v>41548</v>
      </c>
      <c r="T642" t="str">
        <f t="shared" ref="T642:T701" si="10">_xlfn.IFS(J642=0%,"No Discount",J642&lt;=3%,"Very Low Discount",J642&lt;=6%,"Low Discount",J642&lt;=9%,"Mid Discount",J642&lt;=12%,"High Discount",J642&lt;=15%,"Very High Discount")</f>
        <v>Very High Discount</v>
      </c>
    </row>
    <row r="643" spans="1:20" x14ac:dyDescent="0.25">
      <c r="A643" t="s">
        <v>416</v>
      </c>
      <c r="B643" t="s">
        <v>54</v>
      </c>
      <c r="C643" t="s">
        <v>55</v>
      </c>
      <c r="D643" t="s">
        <v>41</v>
      </c>
      <c r="E643" t="s">
        <v>42</v>
      </c>
      <c r="F643" t="s">
        <v>57</v>
      </c>
      <c r="G643" s="1">
        <v>10</v>
      </c>
      <c r="H643" s="1">
        <v>20</v>
      </c>
      <c r="I643">
        <v>2914</v>
      </c>
      <c r="J643" s="2">
        <v>0.14000000000000001</v>
      </c>
      <c r="K643" s="1">
        <v>58280</v>
      </c>
      <c r="L643" s="1">
        <v>8159.2000000000007</v>
      </c>
      <c r="M643" s="1">
        <v>50120.800000000003</v>
      </c>
      <c r="N643" s="1">
        <v>29140</v>
      </c>
      <c r="O643" s="1">
        <v>20980.800000000003</v>
      </c>
      <c r="P643">
        <v>1</v>
      </c>
      <c r="Q643">
        <v>10</v>
      </c>
      <c r="R643">
        <v>2014</v>
      </c>
      <c r="S643" s="3">
        <v>41913</v>
      </c>
      <c r="T643" t="str">
        <f t="shared" si="10"/>
        <v>Very High Discount</v>
      </c>
    </row>
    <row r="644" spans="1:20" x14ac:dyDescent="0.25">
      <c r="A644" t="s">
        <v>193</v>
      </c>
      <c r="B644" t="s">
        <v>29</v>
      </c>
      <c r="C644" t="s">
        <v>30</v>
      </c>
      <c r="D644" t="s">
        <v>22</v>
      </c>
      <c r="E644" t="s">
        <v>23</v>
      </c>
      <c r="F644" t="s">
        <v>57</v>
      </c>
      <c r="G644" s="1">
        <v>10</v>
      </c>
      <c r="H644" s="1">
        <v>20</v>
      </c>
      <c r="I644">
        <v>1731</v>
      </c>
      <c r="J644" s="2">
        <v>0.14000000000000001</v>
      </c>
      <c r="K644" s="1">
        <v>34620</v>
      </c>
      <c r="L644" s="1">
        <v>4846.8</v>
      </c>
      <c r="M644" s="1">
        <v>29773.200000000001</v>
      </c>
      <c r="N644" s="1">
        <v>17310</v>
      </c>
      <c r="O644" s="1">
        <v>12463.2</v>
      </c>
      <c r="P644">
        <v>1</v>
      </c>
      <c r="Q644">
        <v>10</v>
      </c>
      <c r="R644">
        <v>2014</v>
      </c>
      <c r="S644" s="3">
        <v>41913</v>
      </c>
      <c r="T644" t="str">
        <f t="shared" si="10"/>
        <v>Very High Discount</v>
      </c>
    </row>
    <row r="645" spans="1:20" x14ac:dyDescent="0.25">
      <c r="A645" t="s">
        <v>280</v>
      </c>
      <c r="B645" t="s">
        <v>20</v>
      </c>
      <c r="C645" t="s">
        <v>21</v>
      </c>
      <c r="D645" t="s">
        <v>22</v>
      </c>
      <c r="E645" t="s">
        <v>23</v>
      </c>
      <c r="F645" t="s">
        <v>57</v>
      </c>
      <c r="G645" s="1">
        <v>10</v>
      </c>
      <c r="H645" s="1">
        <v>20</v>
      </c>
      <c r="I645">
        <v>700</v>
      </c>
      <c r="J645" s="2">
        <v>0.14000000000000001</v>
      </c>
      <c r="K645" s="1">
        <v>14000</v>
      </c>
      <c r="L645" s="1">
        <v>1960.0000000000002</v>
      </c>
      <c r="M645" s="1">
        <v>12040</v>
      </c>
      <c r="N645" s="1">
        <v>7000</v>
      </c>
      <c r="O645" s="1">
        <v>5040</v>
      </c>
      <c r="P645">
        <v>1</v>
      </c>
      <c r="Q645">
        <v>11</v>
      </c>
      <c r="R645">
        <v>2014</v>
      </c>
      <c r="S645" s="3">
        <v>41944</v>
      </c>
      <c r="T645" t="str">
        <f t="shared" si="10"/>
        <v>Very High Discount</v>
      </c>
    </row>
    <row r="646" spans="1:20" x14ac:dyDescent="0.25">
      <c r="A646" t="s">
        <v>417</v>
      </c>
      <c r="B646" t="s">
        <v>20</v>
      </c>
      <c r="C646" t="s">
        <v>21</v>
      </c>
      <c r="D646" t="s">
        <v>41</v>
      </c>
      <c r="E646" t="s">
        <v>42</v>
      </c>
      <c r="F646" t="s">
        <v>57</v>
      </c>
      <c r="G646" s="1">
        <v>10</v>
      </c>
      <c r="H646" s="1">
        <v>20</v>
      </c>
      <c r="I646">
        <v>2222</v>
      </c>
      <c r="J646" s="2">
        <v>0.14000000000000001</v>
      </c>
      <c r="K646" s="1">
        <v>44440</v>
      </c>
      <c r="L646" s="1">
        <v>6221.6</v>
      </c>
      <c r="M646" s="1">
        <v>38218.400000000001</v>
      </c>
      <c r="N646" s="1">
        <v>22220</v>
      </c>
      <c r="O646" s="1">
        <v>15998.400000000001</v>
      </c>
      <c r="P646">
        <v>1</v>
      </c>
      <c r="Q646">
        <v>11</v>
      </c>
      <c r="R646">
        <v>2013</v>
      </c>
      <c r="S646" s="3">
        <v>41579</v>
      </c>
      <c r="T646" t="str">
        <f t="shared" si="10"/>
        <v>Very High Discount</v>
      </c>
    </row>
    <row r="647" spans="1:20" x14ac:dyDescent="0.25">
      <c r="A647" t="s">
        <v>149</v>
      </c>
      <c r="B647" t="s">
        <v>54</v>
      </c>
      <c r="C647" t="s">
        <v>55</v>
      </c>
      <c r="D647" t="s">
        <v>22</v>
      </c>
      <c r="E647" t="s">
        <v>23</v>
      </c>
      <c r="F647" t="s">
        <v>57</v>
      </c>
      <c r="G647" s="1">
        <v>10</v>
      </c>
      <c r="H647" s="1">
        <v>20</v>
      </c>
      <c r="I647">
        <v>1177</v>
      </c>
      <c r="J647" s="2">
        <v>0.14000000000000001</v>
      </c>
      <c r="K647" s="1">
        <v>23540</v>
      </c>
      <c r="L647" s="1">
        <v>3295.6000000000004</v>
      </c>
      <c r="M647" s="1">
        <v>20244.400000000001</v>
      </c>
      <c r="N647" s="1">
        <v>11770</v>
      </c>
      <c r="O647" s="1">
        <v>8474.4000000000015</v>
      </c>
      <c r="P647">
        <v>1</v>
      </c>
      <c r="Q647">
        <v>11</v>
      </c>
      <c r="R647">
        <v>2014</v>
      </c>
      <c r="S647" s="3">
        <v>41944</v>
      </c>
      <c r="T647" t="str">
        <f t="shared" si="10"/>
        <v>Very High Discount</v>
      </c>
    </row>
    <row r="648" spans="1:20" x14ac:dyDescent="0.25">
      <c r="A648" t="s">
        <v>126</v>
      </c>
      <c r="B648" t="s">
        <v>29</v>
      </c>
      <c r="C648" t="s">
        <v>30</v>
      </c>
      <c r="D648" t="s">
        <v>22</v>
      </c>
      <c r="E648" t="s">
        <v>23</v>
      </c>
      <c r="F648" t="s">
        <v>57</v>
      </c>
      <c r="G648" s="1">
        <v>10</v>
      </c>
      <c r="H648" s="1">
        <v>20</v>
      </c>
      <c r="I648">
        <v>1922</v>
      </c>
      <c r="J648" s="2">
        <v>0.14000000000000001</v>
      </c>
      <c r="K648" s="1">
        <v>38440</v>
      </c>
      <c r="L648" s="1">
        <v>5381.6</v>
      </c>
      <c r="M648" s="1">
        <v>33058.400000000001</v>
      </c>
      <c r="N648" s="1">
        <v>19220</v>
      </c>
      <c r="O648" s="1">
        <v>13838.400000000001</v>
      </c>
      <c r="P648">
        <v>1</v>
      </c>
      <c r="Q648">
        <v>11</v>
      </c>
      <c r="R648">
        <v>2013</v>
      </c>
      <c r="S648" s="3">
        <v>41579</v>
      </c>
      <c r="T648" t="str">
        <f t="shared" si="10"/>
        <v>Very High Discount</v>
      </c>
    </row>
    <row r="649" spans="1:20" x14ac:dyDescent="0.25">
      <c r="A649" t="s">
        <v>418</v>
      </c>
      <c r="B649" t="s">
        <v>35</v>
      </c>
      <c r="C649" t="s">
        <v>36</v>
      </c>
      <c r="D649" t="s">
        <v>46</v>
      </c>
      <c r="E649" t="s">
        <v>47</v>
      </c>
      <c r="F649" t="s">
        <v>71</v>
      </c>
      <c r="G649" s="1">
        <v>120</v>
      </c>
      <c r="H649" s="1">
        <v>180</v>
      </c>
      <c r="I649">
        <v>1575</v>
      </c>
      <c r="J649" s="2">
        <v>0.14000000000000001</v>
      </c>
      <c r="K649" s="1">
        <v>283500</v>
      </c>
      <c r="L649" s="1">
        <v>39690.000000000007</v>
      </c>
      <c r="M649" s="1">
        <v>243810</v>
      </c>
      <c r="N649" s="1">
        <v>189000</v>
      </c>
      <c r="O649" s="1">
        <v>54810</v>
      </c>
      <c r="P649">
        <v>1</v>
      </c>
      <c r="Q649">
        <v>2</v>
      </c>
      <c r="R649">
        <v>2014</v>
      </c>
      <c r="S649" s="3">
        <v>41671</v>
      </c>
      <c r="T649" t="str">
        <f t="shared" si="10"/>
        <v>Very High Discount</v>
      </c>
    </row>
    <row r="650" spans="1:20" x14ac:dyDescent="0.25">
      <c r="A650" t="s">
        <v>108</v>
      </c>
      <c r="B650" t="s">
        <v>54</v>
      </c>
      <c r="C650" t="s">
        <v>55</v>
      </c>
      <c r="D650" t="s">
        <v>22</v>
      </c>
      <c r="E650" t="s">
        <v>23</v>
      </c>
      <c r="F650" t="s">
        <v>71</v>
      </c>
      <c r="G650" s="1">
        <v>120</v>
      </c>
      <c r="H650" s="1">
        <v>180</v>
      </c>
      <c r="I650">
        <v>606</v>
      </c>
      <c r="J650" s="2">
        <v>0.13999999999999999</v>
      </c>
      <c r="K650" s="1">
        <v>109080</v>
      </c>
      <c r="L650" s="1">
        <v>15271.199999999999</v>
      </c>
      <c r="M650" s="1">
        <v>93808.8</v>
      </c>
      <c r="N650" s="1">
        <v>72720</v>
      </c>
      <c r="O650" s="1">
        <v>21088.800000000003</v>
      </c>
      <c r="P650">
        <v>1</v>
      </c>
      <c r="Q650">
        <v>4</v>
      </c>
      <c r="R650">
        <v>2014</v>
      </c>
      <c r="S650" s="3">
        <v>41730</v>
      </c>
      <c r="T650" t="str">
        <f t="shared" si="10"/>
        <v>Very High Discount</v>
      </c>
    </row>
    <row r="651" spans="1:20" x14ac:dyDescent="0.25">
      <c r="A651" t="s">
        <v>419</v>
      </c>
      <c r="B651" t="s">
        <v>54</v>
      </c>
      <c r="C651" t="s">
        <v>55</v>
      </c>
      <c r="D651" t="s">
        <v>49</v>
      </c>
      <c r="E651" t="s">
        <v>50</v>
      </c>
      <c r="F651" t="s">
        <v>71</v>
      </c>
      <c r="G651" s="1">
        <v>120</v>
      </c>
      <c r="H651" s="1">
        <v>180</v>
      </c>
      <c r="I651">
        <v>2460</v>
      </c>
      <c r="J651" s="2">
        <v>0.14000000000000001</v>
      </c>
      <c r="K651" s="1">
        <v>442800</v>
      </c>
      <c r="L651" s="1">
        <v>61992.000000000007</v>
      </c>
      <c r="M651" s="1">
        <v>380808</v>
      </c>
      <c r="N651" s="1">
        <v>295200</v>
      </c>
      <c r="O651" s="1">
        <v>85608</v>
      </c>
      <c r="P651">
        <v>1</v>
      </c>
      <c r="Q651">
        <v>7</v>
      </c>
      <c r="R651">
        <v>2014</v>
      </c>
      <c r="S651" s="3">
        <v>41821</v>
      </c>
      <c r="T651" t="str">
        <f t="shared" si="10"/>
        <v>Very High Discount</v>
      </c>
    </row>
    <row r="652" spans="1:20" x14ac:dyDescent="0.25">
      <c r="A652" t="s">
        <v>420</v>
      </c>
      <c r="B652" t="s">
        <v>20</v>
      </c>
      <c r="C652" t="s">
        <v>21</v>
      </c>
      <c r="D652" t="s">
        <v>49</v>
      </c>
      <c r="E652" t="s">
        <v>50</v>
      </c>
      <c r="F652" t="s">
        <v>71</v>
      </c>
      <c r="G652" s="1">
        <v>120</v>
      </c>
      <c r="H652" s="1">
        <v>180</v>
      </c>
      <c r="I652">
        <v>269</v>
      </c>
      <c r="J652" s="2">
        <v>0.14000000000000001</v>
      </c>
      <c r="K652" s="1">
        <v>48420</v>
      </c>
      <c r="L652" s="1">
        <v>6778.8000000000011</v>
      </c>
      <c r="M652" s="1">
        <v>41641.199999999997</v>
      </c>
      <c r="N652" s="1">
        <v>32280</v>
      </c>
      <c r="O652" s="1">
        <v>9361.1999999999971</v>
      </c>
      <c r="P652">
        <v>1</v>
      </c>
      <c r="Q652">
        <v>10</v>
      </c>
      <c r="R652">
        <v>2013</v>
      </c>
      <c r="S652" s="3">
        <v>41548</v>
      </c>
      <c r="T652" t="str">
        <f t="shared" si="10"/>
        <v>Very High Discount</v>
      </c>
    </row>
    <row r="653" spans="1:20" x14ac:dyDescent="0.25">
      <c r="A653" t="s">
        <v>421</v>
      </c>
      <c r="B653" t="s">
        <v>26</v>
      </c>
      <c r="C653" t="s">
        <v>27</v>
      </c>
      <c r="D653" t="s">
        <v>49</v>
      </c>
      <c r="E653" t="s">
        <v>50</v>
      </c>
      <c r="F653" t="s">
        <v>71</v>
      </c>
      <c r="G653" s="1">
        <v>120</v>
      </c>
      <c r="H653" s="1">
        <v>180</v>
      </c>
      <c r="I653">
        <v>2536</v>
      </c>
      <c r="J653" s="2">
        <v>0.14000000000000001</v>
      </c>
      <c r="K653" s="1">
        <v>456480</v>
      </c>
      <c r="L653" s="1">
        <v>63907.200000000004</v>
      </c>
      <c r="M653" s="1">
        <v>392572.8</v>
      </c>
      <c r="N653" s="1">
        <v>304320</v>
      </c>
      <c r="O653" s="1">
        <v>88252.799999999988</v>
      </c>
      <c r="P653">
        <v>1</v>
      </c>
      <c r="Q653">
        <v>11</v>
      </c>
      <c r="R653">
        <v>2013</v>
      </c>
      <c r="S653" s="3">
        <v>41579</v>
      </c>
      <c r="T653" t="str">
        <f t="shared" si="10"/>
        <v>Very High Discount</v>
      </c>
    </row>
    <row r="654" spans="1:20" x14ac:dyDescent="0.25">
      <c r="A654" t="s">
        <v>92</v>
      </c>
      <c r="B654" t="s">
        <v>35</v>
      </c>
      <c r="C654" t="s">
        <v>36</v>
      </c>
      <c r="D654" t="s">
        <v>22</v>
      </c>
      <c r="E654" t="s">
        <v>23</v>
      </c>
      <c r="F654" t="s">
        <v>76</v>
      </c>
      <c r="G654" s="1">
        <v>250</v>
      </c>
      <c r="H654" s="1">
        <v>300</v>
      </c>
      <c r="I654">
        <v>2903</v>
      </c>
      <c r="J654" s="2">
        <v>0.14000000000000001</v>
      </c>
      <c r="K654" s="1">
        <v>870900</v>
      </c>
      <c r="L654" s="1">
        <v>121926.00000000001</v>
      </c>
      <c r="M654" s="1">
        <v>748974</v>
      </c>
      <c r="N654" s="1">
        <v>725750</v>
      </c>
      <c r="O654" s="1">
        <v>23224</v>
      </c>
      <c r="P654">
        <v>1</v>
      </c>
      <c r="Q654">
        <v>3</v>
      </c>
      <c r="R654">
        <v>2014</v>
      </c>
      <c r="S654" s="3">
        <v>41699</v>
      </c>
      <c r="T654" t="str">
        <f t="shared" si="10"/>
        <v>Very High Discount</v>
      </c>
    </row>
    <row r="655" spans="1:20" x14ac:dyDescent="0.25">
      <c r="A655" t="s">
        <v>422</v>
      </c>
      <c r="B655" t="s">
        <v>54</v>
      </c>
      <c r="C655" t="s">
        <v>55</v>
      </c>
      <c r="D655" t="s">
        <v>49</v>
      </c>
      <c r="E655" t="s">
        <v>50</v>
      </c>
      <c r="F655" t="s">
        <v>76</v>
      </c>
      <c r="G655" s="1">
        <v>250</v>
      </c>
      <c r="H655" s="1">
        <v>300</v>
      </c>
      <c r="I655">
        <v>2541</v>
      </c>
      <c r="J655" s="2">
        <v>0.14000000000000001</v>
      </c>
      <c r="K655" s="1">
        <v>762300</v>
      </c>
      <c r="L655" s="1">
        <v>106722.00000000001</v>
      </c>
      <c r="M655" s="1">
        <v>655578</v>
      </c>
      <c r="N655" s="1">
        <v>635250</v>
      </c>
      <c r="O655" s="1">
        <v>20328</v>
      </c>
      <c r="P655">
        <v>1</v>
      </c>
      <c r="Q655">
        <v>8</v>
      </c>
      <c r="R655">
        <v>2014</v>
      </c>
      <c r="S655" s="3">
        <v>41852</v>
      </c>
      <c r="T655" t="str">
        <f t="shared" si="10"/>
        <v>Very High Discount</v>
      </c>
    </row>
    <row r="656" spans="1:20" x14ac:dyDescent="0.25">
      <c r="A656" t="s">
        <v>420</v>
      </c>
      <c r="B656" t="s">
        <v>20</v>
      </c>
      <c r="C656" t="s">
        <v>21</v>
      </c>
      <c r="D656" t="s">
        <v>49</v>
      </c>
      <c r="E656" t="s">
        <v>50</v>
      </c>
      <c r="F656" t="s">
        <v>76</v>
      </c>
      <c r="G656" s="1">
        <v>250</v>
      </c>
      <c r="H656" s="1">
        <v>300</v>
      </c>
      <c r="I656">
        <v>269</v>
      </c>
      <c r="J656" s="2">
        <v>0.14000000000000001</v>
      </c>
      <c r="K656" s="1">
        <v>80700</v>
      </c>
      <c r="L656" s="1">
        <v>11298.000000000002</v>
      </c>
      <c r="M656" s="1">
        <v>69402</v>
      </c>
      <c r="N656" s="1">
        <v>67250</v>
      </c>
      <c r="O656" s="1">
        <v>2152</v>
      </c>
      <c r="P656">
        <v>1</v>
      </c>
      <c r="Q656">
        <v>10</v>
      </c>
      <c r="R656">
        <v>2013</v>
      </c>
      <c r="S656" s="3">
        <v>41548</v>
      </c>
      <c r="T656" t="str">
        <f t="shared" si="10"/>
        <v>Very High Discount</v>
      </c>
    </row>
    <row r="657" spans="1:20" x14ac:dyDescent="0.25">
      <c r="A657" t="s">
        <v>409</v>
      </c>
      <c r="B657" t="s">
        <v>20</v>
      </c>
      <c r="C657" t="s">
        <v>21</v>
      </c>
      <c r="D657" t="s">
        <v>49</v>
      </c>
      <c r="E657" t="s">
        <v>50</v>
      </c>
      <c r="F657" t="s">
        <v>76</v>
      </c>
      <c r="G657" s="1">
        <v>250</v>
      </c>
      <c r="H657" s="1">
        <v>300</v>
      </c>
      <c r="I657">
        <v>1496</v>
      </c>
      <c r="J657" s="2">
        <v>0.14000000000000001</v>
      </c>
      <c r="K657" s="1">
        <v>448800</v>
      </c>
      <c r="L657" s="1">
        <v>62832.000000000007</v>
      </c>
      <c r="M657" s="1">
        <v>385968</v>
      </c>
      <c r="N657" s="1">
        <v>374000</v>
      </c>
      <c r="O657" s="1">
        <v>11968</v>
      </c>
      <c r="P657">
        <v>1</v>
      </c>
      <c r="Q657">
        <v>10</v>
      </c>
      <c r="R657">
        <v>2014</v>
      </c>
      <c r="S657" s="3">
        <v>41913</v>
      </c>
      <c r="T657" t="str">
        <f t="shared" si="10"/>
        <v>Very High Discount</v>
      </c>
    </row>
    <row r="658" spans="1:20" x14ac:dyDescent="0.25">
      <c r="A658" t="s">
        <v>410</v>
      </c>
      <c r="B658" t="s">
        <v>54</v>
      </c>
      <c r="C658" t="s">
        <v>55</v>
      </c>
      <c r="D658" t="s">
        <v>49</v>
      </c>
      <c r="E658" t="s">
        <v>50</v>
      </c>
      <c r="F658" t="s">
        <v>76</v>
      </c>
      <c r="G658" s="1">
        <v>250</v>
      </c>
      <c r="H658" s="1">
        <v>300</v>
      </c>
      <c r="I658">
        <v>1010</v>
      </c>
      <c r="J658" s="2">
        <v>0.14000000000000001</v>
      </c>
      <c r="K658" s="1">
        <v>303000</v>
      </c>
      <c r="L658" s="1">
        <v>42420.000000000007</v>
      </c>
      <c r="M658" s="1">
        <v>260580</v>
      </c>
      <c r="N658" s="1">
        <v>252500</v>
      </c>
      <c r="O658" s="1">
        <v>8080</v>
      </c>
      <c r="P658">
        <v>1</v>
      </c>
      <c r="Q658">
        <v>10</v>
      </c>
      <c r="R658">
        <v>2014</v>
      </c>
      <c r="S658" s="3">
        <v>41913</v>
      </c>
      <c r="T658" t="str">
        <f t="shared" si="10"/>
        <v>Very High Discount</v>
      </c>
    </row>
    <row r="659" spans="1:20" x14ac:dyDescent="0.25">
      <c r="A659" t="s">
        <v>217</v>
      </c>
      <c r="B659" t="s">
        <v>29</v>
      </c>
      <c r="C659" t="s">
        <v>30</v>
      </c>
      <c r="D659" t="s">
        <v>22</v>
      </c>
      <c r="E659" t="s">
        <v>23</v>
      </c>
      <c r="F659" t="s">
        <v>76</v>
      </c>
      <c r="G659" s="1">
        <v>250</v>
      </c>
      <c r="H659" s="1">
        <v>300</v>
      </c>
      <c r="I659">
        <v>1281</v>
      </c>
      <c r="J659" s="2">
        <v>0.14000000000000001</v>
      </c>
      <c r="K659" s="1">
        <v>384300</v>
      </c>
      <c r="L659" s="1">
        <v>53802.000000000007</v>
      </c>
      <c r="M659" s="1">
        <v>330498</v>
      </c>
      <c r="N659" s="1">
        <v>320250</v>
      </c>
      <c r="O659" s="1">
        <v>10248</v>
      </c>
      <c r="P659">
        <v>1</v>
      </c>
      <c r="Q659">
        <v>12</v>
      </c>
      <c r="R659">
        <v>2013</v>
      </c>
      <c r="S659" s="3">
        <v>41609</v>
      </c>
      <c r="T659" t="str">
        <f t="shared" si="10"/>
        <v>Very High Discount</v>
      </c>
    </row>
    <row r="660" spans="1:20" x14ac:dyDescent="0.25">
      <c r="A660" t="s">
        <v>423</v>
      </c>
      <c r="B660" t="s">
        <v>20</v>
      </c>
      <c r="C660" t="s">
        <v>21</v>
      </c>
      <c r="D660" t="s">
        <v>49</v>
      </c>
      <c r="E660" t="s">
        <v>50</v>
      </c>
      <c r="F660" t="s">
        <v>81</v>
      </c>
      <c r="G660" s="1">
        <v>200</v>
      </c>
      <c r="H660" s="1">
        <v>350</v>
      </c>
      <c r="I660">
        <v>888</v>
      </c>
      <c r="J660" s="2">
        <v>0.14000000000000001</v>
      </c>
      <c r="K660" s="1">
        <v>310800</v>
      </c>
      <c r="L660" s="1">
        <v>43512.000000000007</v>
      </c>
      <c r="M660" s="1">
        <v>267288</v>
      </c>
      <c r="N660" s="1">
        <v>177600</v>
      </c>
      <c r="O660" s="1">
        <v>89688</v>
      </c>
      <c r="P660">
        <v>1</v>
      </c>
      <c r="Q660">
        <v>3</v>
      </c>
      <c r="R660">
        <v>2014</v>
      </c>
      <c r="S660" s="3">
        <v>41699</v>
      </c>
      <c r="T660" t="str">
        <f t="shared" si="10"/>
        <v>Very High Discount</v>
      </c>
    </row>
    <row r="661" spans="1:20" x14ac:dyDescent="0.25">
      <c r="A661" t="s">
        <v>424</v>
      </c>
      <c r="B661" t="s">
        <v>54</v>
      </c>
      <c r="C661" t="s">
        <v>55</v>
      </c>
      <c r="D661" t="s">
        <v>46</v>
      </c>
      <c r="E661" t="s">
        <v>47</v>
      </c>
      <c r="F661" t="s">
        <v>81</v>
      </c>
      <c r="G661" s="1">
        <v>200</v>
      </c>
      <c r="H661" s="1">
        <v>350</v>
      </c>
      <c r="I661">
        <v>2844</v>
      </c>
      <c r="J661" s="2">
        <v>0.14000000000000001</v>
      </c>
      <c r="K661" s="1">
        <v>995400</v>
      </c>
      <c r="L661" s="1">
        <v>139356</v>
      </c>
      <c r="M661" s="1">
        <v>856044</v>
      </c>
      <c r="N661" s="1">
        <v>568800</v>
      </c>
      <c r="O661" s="1">
        <v>287244</v>
      </c>
      <c r="P661">
        <v>1</v>
      </c>
      <c r="Q661">
        <v>5</v>
      </c>
      <c r="R661">
        <v>2014</v>
      </c>
      <c r="S661" s="3">
        <v>41760</v>
      </c>
      <c r="T661" t="str">
        <f t="shared" si="10"/>
        <v>Very High Discount</v>
      </c>
    </row>
    <row r="662" spans="1:20" x14ac:dyDescent="0.25">
      <c r="A662" t="s">
        <v>425</v>
      </c>
      <c r="B662" t="s">
        <v>29</v>
      </c>
      <c r="C662" t="s">
        <v>30</v>
      </c>
      <c r="D662" t="s">
        <v>41</v>
      </c>
      <c r="E662" t="s">
        <v>42</v>
      </c>
      <c r="F662" t="s">
        <v>81</v>
      </c>
      <c r="G662" s="1">
        <v>200</v>
      </c>
      <c r="H662" s="1">
        <v>350</v>
      </c>
      <c r="I662">
        <v>2475</v>
      </c>
      <c r="J662" s="2">
        <v>0.14000000000000001</v>
      </c>
      <c r="K662" s="1">
        <v>866250</v>
      </c>
      <c r="L662" s="1">
        <v>121275.00000000001</v>
      </c>
      <c r="M662" s="1">
        <v>744975</v>
      </c>
      <c r="N662" s="1">
        <v>495000</v>
      </c>
      <c r="O662" s="1">
        <v>249975</v>
      </c>
      <c r="P662">
        <v>1</v>
      </c>
      <c r="Q662">
        <v>8</v>
      </c>
      <c r="R662">
        <v>2014</v>
      </c>
      <c r="S662" s="3">
        <v>41852</v>
      </c>
      <c r="T662" t="str">
        <f t="shared" si="10"/>
        <v>Very High Discount</v>
      </c>
    </row>
    <row r="663" spans="1:20" x14ac:dyDescent="0.25">
      <c r="A663" t="s">
        <v>415</v>
      </c>
      <c r="B663" t="s">
        <v>20</v>
      </c>
      <c r="C663" t="s">
        <v>21</v>
      </c>
      <c r="D663" t="s">
        <v>31</v>
      </c>
      <c r="E663" t="s">
        <v>32</v>
      </c>
      <c r="F663" t="s">
        <v>81</v>
      </c>
      <c r="G663" s="1">
        <v>200</v>
      </c>
      <c r="H663" s="1">
        <v>350</v>
      </c>
      <c r="I663">
        <v>1743</v>
      </c>
      <c r="J663" s="2">
        <v>0.14000000000000001</v>
      </c>
      <c r="K663" s="1">
        <v>610050</v>
      </c>
      <c r="L663" s="1">
        <v>85407.000000000015</v>
      </c>
      <c r="M663" s="1">
        <v>524643</v>
      </c>
      <c r="N663" s="1">
        <v>348600</v>
      </c>
      <c r="O663" s="1">
        <v>176043</v>
      </c>
      <c r="P663">
        <v>1</v>
      </c>
      <c r="Q663">
        <v>10</v>
      </c>
      <c r="R663">
        <v>2013</v>
      </c>
      <c r="S663" s="3">
        <v>41548</v>
      </c>
      <c r="T663" t="str">
        <f t="shared" si="10"/>
        <v>Very High Discount</v>
      </c>
    </row>
    <row r="664" spans="1:20" x14ac:dyDescent="0.25">
      <c r="A664" t="s">
        <v>416</v>
      </c>
      <c r="B664" t="s">
        <v>54</v>
      </c>
      <c r="C664" t="s">
        <v>55</v>
      </c>
      <c r="D664" t="s">
        <v>41</v>
      </c>
      <c r="E664" t="s">
        <v>42</v>
      </c>
      <c r="F664" t="s">
        <v>81</v>
      </c>
      <c r="G664" s="1">
        <v>200</v>
      </c>
      <c r="H664" s="1">
        <v>350</v>
      </c>
      <c r="I664">
        <v>2914</v>
      </c>
      <c r="J664" s="2">
        <v>0.14000000000000001</v>
      </c>
      <c r="K664" s="1">
        <v>1019900</v>
      </c>
      <c r="L664" s="1">
        <v>142786</v>
      </c>
      <c r="M664" s="1">
        <v>877114</v>
      </c>
      <c r="N664" s="1">
        <v>582800</v>
      </c>
      <c r="O664" s="1">
        <v>294314</v>
      </c>
      <c r="P664">
        <v>1</v>
      </c>
      <c r="Q664">
        <v>10</v>
      </c>
      <c r="R664">
        <v>2014</v>
      </c>
      <c r="S664" s="3">
        <v>41913</v>
      </c>
      <c r="T664" t="str">
        <f t="shared" si="10"/>
        <v>Very High Discount</v>
      </c>
    </row>
    <row r="665" spans="1:20" x14ac:dyDescent="0.25">
      <c r="A665" t="s">
        <v>193</v>
      </c>
      <c r="B665" t="s">
        <v>29</v>
      </c>
      <c r="C665" t="s">
        <v>30</v>
      </c>
      <c r="D665" t="s">
        <v>22</v>
      </c>
      <c r="E665" t="s">
        <v>23</v>
      </c>
      <c r="F665" t="s">
        <v>81</v>
      </c>
      <c r="G665" s="1">
        <v>200</v>
      </c>
      <c r="H665" s="1">
        <v>350</v>
      </c>
      <c r="I665">
        <v>1731</v>
      </c>
      <c r="J665" s="2">
        <v>0.14000000000000001</v>
      </c>
      <c r="K665" s="1">
        <v>605850</v>
      </c>
      <c r="L665" s="1">
        <v>84819.000000000015</v>
      </c>
      <c r="M665" s="1">
        <v>521031</v>
      </c>
      <c r="N665" s="1">
        <v>346200</v>
      </c>
      <c r="O665" s="1">
        <v>174831</v>
      </c>
      <c r="P665">
        <v>1</v>
      </c>
      <c r="Q665">
        <v>10</v>
      </c>
      <c r="R665">
        <v>2014</v>
      </c>
      <c r="S665" s="3">
        <v>41913</v>
      </c>
      <c r="T665" t="str">
        <f t="shared" si="10"/>
        <v>Very High Discount</v>
      </c>
    </row>
    <row r="666" spans="1:20" x14ac:dyDescent="0.25">
      <c r="A666" t="s">
        <v>367</v>
      </c>
      <c r="B666" t="s">
        <v>35</v>
      </c>
      <c r="C666" t="s">
        <v>36</v>
      </c>
      <c r="D666" t="s">
        <v>22</v>
      </c>
      <c r="E666" t="s">
        <v>23</v>
      </c>
      <c r="F666" t="s">
        <v>81</v>
      </c>
      <c r="G666" s="1">
        <v>200</v>
      </c>
      <c r="H666" s="1">
        <v>350</v>
      </c>
      <c r="I666">
        <v>1727</v>
      </c>
      <c r="J666" s="2">
        <v>0.14000000000000001</v>
      </c>
      <c r="K666" s="1">
        <v>604450</v>
      </c>
      <c r="L666" s="1">
        <v>84623.000000000015</v>
      </c>
      <c r="M666" s="1">
        <v>519827</v>
      </c>
      <c r="N666" s="1">
        <v>345400</v>
      </c>
      <c r="O666" s="1">
        <v>174427</v>
      </c>
      <c r="P666">
        <v>1</v>
      </c>
      <c r="Q666">
        <v>10</v>
      </c>
      <c r="R666">
        <v>2013</v>
      </c>
      <c r="S666" s="3">
        <v>41548</v>
      </c>
      <c r="T666" t="str">
        <f t="shared" si="10"/>
        <v>Very High Discount</v>
      </c>
    </row>
    <row r="667" spans="1:20" x14ac:dyDescent="0.25">
      <c r="A667" t="s">
        <v>426</v>
      </c>
      <c r="B667" t="s">
        <v>35</v>
      </c>
      <c r="C667" t="s">
        <v>36</v>
      </c>
      <c r="D667" t="s">
        <v>31</v>
      </c>
      <c r="E667" t="s">
        <v>32</v>
      </c>
      <c r="F667" t="s">
        <v>81</v>
      </c>
      <c r="G667" s="1">
        <v>200</v>
      </c>
      <c r="H667" s="1">
        <v>350</v>
      </c>
      <c r="I667">
        <v>1870</v>
      </c>
      <c r="J667" s="2">
        <v>0.14000000000000001</v>
      </c>
      <c r="K667" s="1">
        <v>654500</v>
      </c>
      <c r="L667" s="1">
        <v>91630.000000000015</v>
      </c>
      <c r="M667" s="1">
        <v>562870</v>
      </c>
      <c r="N667" s="1">
        <v>374000</v>
      </c>
      <c r="O667" s="1">
        <v>188870</v>
      </c>
      <c r="P667">
        <v>1</v>
      </c>
      <c r="Q667">
        <v>11</v>
      </c>
      <c r="R667">
        <v>2013</v>
      </c>
      <c r="S667" s="3">
        <v>41579</v>
      </c>
      <c r="T667" t="str">
        <f t="shared" si="10"/>
        <v>Very High Discount</v>
      </c>
    </row>
    <row r="668" spans="1:20" x14ac:dyDescent="0.25">
      <c r="A668" t="s">
        <v>427</v>
      </c>
      <c r="B668" t="s">
        <v>29</v>
      </c>
      <c r="C668" t="s">
        <v>30</v>
      </c>
      <c r="D668" t="s">
        <v>46</v>
      </c>
      <c r="E668" t="s">
        <v>47</v>
      </c>
      <c r="F668" t="s">
        <v>24</v>
      </c>
      <c r="G668" s="1">
        <v>3</v>
      </c>
      <c r="H668" s="1">
        <v>20</v>
      </c>
      <c r="I668">
        <v>1174</v>
      </c>
      <c r="J668" s="2">
        <v>0.15</v>
      </c>
      <c r="K668" s="1">
        <v>23480</v>
      </c>
      <c r="L668" s="1">
        <v>3522</v>
      </c>
      <c r="M668" s="1">
        <v>19958</v>
      </c>
      <c r="N668" s="1">
        <v>3522</v>
      </c>
      <c r="O668" s="1">
        <v>16436</v>
      </c>
      <c r="P668">
        <v>1</v>
      </c>
      <c r="Q668">
        <v>8</v>
      </c>
      <c r="R668">
        <v>2014</v>
      </c>
      <c r="S668" s="3">
        <v>41852</v>
      </c>
      <c r="T668" t="str">
        <f t="shared" si="10"/>
        <v>Very High Discount</v>
      </c>
    </row>
    <row r="669" spans="1:20" x14ac:dyDescent="0.25">
      <c r="A669" t="s">
        <v>428</v>
      </c>
      <c r="B669" t="s">
        <v>26</v>
      </c>
      <c r="C669" t="s">
        <v>27</v>
      </c>
      <c r="D669" t="s">
        <v>46</v>
      </c>
      <c r="E669" t="s">
        <v>47</v>
      </c>
      <c r="F669" t="s">
        <v>24</v>
      </c>
      <c r="G669" s="1">
        <v>3</v>
      </c>
      <c r="H669" s="1">
        <v>20</v>
      </c>
      <c r="I669">
        <v>2767</v>
      </c>
      <c r="J669" s="2">
        <v>0.15</v>
      </c>
      <c r="K669" s="1">
        <v>55340</v>
      </c>
      <c r="L669" s="1">
        <v>8301</v>
      </c>
      <c r="M669" s="1">
        <v>47039</v>
      </c>
      <c r="N669" s="1">
        <v>8301</v>
      </c>
      <c r="O669" s="1">
        <v>38738</v>
      </c>
      <c r="P669">
        <v>1</v>
      </c>
      <c r="Q669">
        <v>8</v>
      </c>
      <c r="R669">
        <v>2014</v>
      </c>
      <c r="S669" s="3">
        <v>41852</v>
      </c>
      <c r="T669" t="str">
        <f t="shared" si="10"/>
        <v>Very High Discount</v>
      </c>
    </row>
    <row r="670" spans="1:20" x14ac:dyDescent="0.25">
      <c r="A670" t="s">
        <v>429</v>
      </c>
      <c r="B670" t="s">
        <v>26</v>
      </c>
      <c r="C670" t="s">
        <v>27</v>
      </c>
      <c r="D670" t="s">
        <v>46</v>
      </c>
      <c r="E670" t="s">
        <v>47</v>
      </c>
      <c r="F670" t="s">
        <v>24</v>
      </c>
      <c r="G670" s="1">
        <v>3</v>
      </c>
      <c r="H670" s="1">
        <v>20</v>
      </c>
      <c r="I670">
        <v>1085</v>
      </c>
      <c r="J670" s="2">
        <v>0.15</v>
      </c>
      <c r="K670" s="1">
        <v>21700</v>
      </c>
      <c r="L670" s="1">
        <v>3255</v>
      </c>
      <c r="M670" s="1">
        <v>18445</v>
      </c>
      <c r="N670" s="1">
        <v>3255</v>
      </c>
      <c r="O670" s="1">
        <v>15190</v>
      </c>
      <c r="P670">
        <v>1</v>
      </c>
      <c r="Q670">
        <v>10</v>
      </c>
      <c r="R670">
        <v>2014</v>
      </c>
      <c r="S670" s="3">
        <v>41913</v>
      </c>
      <c r="T670" t="str">
        <f t="shared" si="10"/>
        <v>Very High Discount</v>
      </c>
    </row>
    <row r="671" spans="1:20" x14ac:dyDescent="0.25">
      <c r="A671" t="s">
        <v>430</v>
      </c>
      <c r="B671" t="s">
        <v>35</v>
      </c>
      <c r="C671" t="s">
        <v>36</v>
      </c>
      <c r="D671" t="s">
        <v>49</v>
      </c>
      <c r="E671" t="s">
        <v>50</v>
      </c>
      <c r="F671" t="s">
        <v>39</v>
      </c>
      <c r="G671" s="1">
        <v>5</v>
      </c>
      <c r="H671" s="1">
        <v>15</v>
      </c>
      <c r="I671">
        <v>546</v>
      </c>
      <c r="J671" s="2">
        <v>0.15</v>
      </c>
      <c r="K671" s="1">
        <v>8190</v>
      </c>
      <c r="L671" s="1">
        <v>1228.5</v>
      </c>
      <c r="M671" s="1">
        <v>6961.5</v>
      </c>
      <c r="N671" s="1">
        <v>2730</v>
      </c>
      <c r="O671" s="1">
        <v>4231.5</v>
      </c>
      <c r="P671">
        <v>1</v>
      </c>
      <c r="Q671">
        <v>10</v>
      </c>
      <c r="R671">
        <v>2014</v>
      </c>
      <c r="S671" s="3">
        <v>41913</v>
      </c>
      <c r="T671" t="str">
        <f t="shared" si="10"/>
        <v>Very High Discount</v>
      </c>
    </row>
    <row r="672" spans="1:20" x14ac:dyDescent="0.25">
      <c r="A672" t="s">
        <v>117</v>
      </c>
      <c r="B672" t="s">
        <v>26</v>
      </c>
      <c r="C672" t="s">
        <v>27</v>
      </c>
      <c r="D672" t="s">
        <v>22</v>
      </c>
      <c r="E672" t="s">
        <v>23</v>
      </c>
      <c r="F672" t="s">
        <v>57</v>
      </c>
      <c r="G672" s="1">
        <v>10</v>
      </c>
      <c r="H672" s="1">
        <v>20</v>
      </c>
      <c r="I672">
        <v>1158</v>
      </c>
      <c r="J672" s="2">
        <v>0.15</v>
      </c>
      <c r="K672" s="1">
        <v>23160</v>
      </c>
      <c r="L672" s="1">
        <v>3474</v>
      </c>
      <c r="M672" s="1">
        <v>19686</v>
      </c>
      <c r="N672" s="1">
        <v>11580</v>
      </c>
      <c r="O672" s="1">
        <v>8106</v>
      </c>
      <c r="P672">
        <v>1</v>
      </c>
      <c r="Q672">
        <v>3</v>
      </c>
      <c r="R672">
        <v>2014</v>
      </c>
      <c r="S672" s="3">
        <v>41699</v>
      </c>
      <c r="T672" t="str">
        <f t="shared" si="10"/>
        <v>Very High Discount</v>
      </c>
    </row>
    <row r="673" spans="1:20" x14ac:dyDescent="0.25">
      <c r="A673" t="s">
        <v>431</v>
      </c>
      <c r="B673" t="s">
        <v>20</v>
      </c>
      <c r="C673" t="s">
        <v>21</v>
      </c>
      <c r="D673" t="s">
        <v>31</v>
      </c>
      <c r="E673" t="s">
        <v>32</v>
      </c>
      <c r="F673" t="s">
        <v>57</v>
      </c>
      <c r="G673" s="1">
        <v>10</v>
      </c>
      <c r="H673" s="1">
        <v>20</v>
      </c>
      <c r="I673">
        <v>1614</v>
      </c>
      <c r="J673" s="2">
        <v>0.15</v>
      </c>
      <c r="K673" s="1">
        <v>32280</v>
      </c>
      <c r="L673" s="1">
        <v>4842</v>
      </c>
      <c r="M673" s="1">
        <v>27438</v>
      </c>
      <c r="N673" s="1">
        <v>16140</v>
      </c>
      <c r="O673" s="1">
        <v>11298</v>
      </c>
      <c r="P673">
        <v>1</v>
      </c>
      <c r="Q673">
        <v>4</v>
      </c>
      <c r="R673">
        <v>2014</v>
      </c>
      <c r="S673" s="3">
        <v>41730</v>
      </c>
      <c r="T673" t="str">
        <f t="shared" si="10"/>
        <v>Very High Discount</v>
      </c>
    </row>
    <row r="674" spans="1:20" x14ac:dyDescent="0.25">
      <c r="A674" t="s">
        <v>233</v>
      </c>
      <c r="B674" t="s">
        <v>35</v>
      </c>
      <c r="C674" t="s">
        <v>36</v>
      </c>
      <c r="D674" t="s">
        <v>22</v>
      </c>
      <c r="E674" t="s">
        <v>23</v>
      </c>
      <c r="F674" t="s">
        <v>57</v>
      </c>
      <c r="G674" s="1">
        <v>10</v>
      </c>
      <c r="H674" s="1">
        <v>20</v>
      </c>
      <c r="I674">
        <v>2535</v>
      </c>
      <c r="J674" s="2">
        <v>0.15</v>
      </c>
      <c r="K674" s="1">
        <v>50700</v>
      </c>
      <c r="L674" s="1">
        <v>7605</v>
      </c>
      <c r="M674" s="1">
        <v>43095</v>
      </c>
      <c r="N674" s="1">
        <v>25350</v>
      </c>
      <c r="O674" s="1">
        <v>17745</v>
      </c>
      <c r="P674">
        <v>1</v>
      </c>
      <c r="Q674">
        <v>4</v>
      </c>
      <c r="R674">
        <v>2014</v>
      </c>
      <c r="S674" s="3">
        <v>41730</v>
      </c>
      <c r="T674" t="str">
        <f t="shared" si="10"/>
        <v>Very High Discount</v>
      </c>
    </row>
    <row r="675" spans="1:20" x14ac:dyDescent="0.25">
      <c r="A675" t="s">
        <v>115</v>
      </c>
      <c r="B675" t="s">
        <v>35</v>
      </c>
      <c r="C675" t="s">
        <v>36</v>
      </c>
      <c r="D675" t="s">
        <v>22</v>
      </c>
      <c r="E675" t="s">
        <v>23</v>
      </c>
      <c r="F675" t="s">
        <v>57</v>
      </c>
      <c r="G675" s="1">
        <v>10</v>
      </c>
      <c r="H675" s="1">
        <v>20</v>
      </c>
      <c r="I675">
        <v>2851</v>
      </c>
      <c r="J675" s="2">
        <v>0.15</v>
      </c>
      <c r="K675" s="1">
        <v>57020</v>
      </c>
      <c r="L675" s="1">
        <v>8553</v>
      </c>
      <c r="M675" s="1">
        <v>48467</v>
      </c>
      <c r="N675" s="1">
        <v>28510</v>
      </c>
      <c r="O675" s="1">
        <v>19957</v>
      </c>
      <c r="P675">
        <v>1</v>
      </c>
      <c r="Q675">
        <v>5</v>
      </c>
      <c r="R675">
        <v>2014</v>
      </c>
      <c r="S675" s="3">
        <v>41760</v>
      </c>
      <c r="T675" t="str">
        <f t="shared" si="10"/>
        <v>Very High Discount</v>
      </c>
    </row>
    <row r="676" spans="1:20" x14ac:dyDescent="0.25">
      <c r="A676" t="s">
        <v>432</v>
      </c>
      <c r="B676" t="s">
        <v>20</v>
      </c>
      <c r="C676" t="s">
        <v>21</v>
      </c>
      <c r="D676" t="s">
        <v>31</v>
      </c>
      <c r="E676" t="s">
        <v>32</v>
      </c>
      <c r="F676" t="s">
        <v>57</v>
      </c>
      <c r="G676" s="1">
        <v>10</v>
      </c>
      <c r="H676" s="1">
        <v>20</v>
      </c>
      <c r="I676">
        <v>2559</v>
      </c>
      <c r="J676" s="2">
        <v>0.15</v>
      </c>
      <c r="K676" s="1">
        <v>51180</v>
      </c>
      <c r="L676" s="1">
        <v>7677</v>
      </c>
      <c r="M676" s="1">
        <v>43503</v>
      </c>
      <c r="N676" s="1">
        <v>25590</v>
      </c>
      <c r="O676" s="1">
        <v>17913</v>
      </c>
      <c r="P676">
        <v>1</v>
      </c>
      <c r="Q676">
        <v>8</v>
      </c>
      <c r="R676">
        <v>2014</v>
      </c>
      <c r="S676" s="3">
        <v>41852</v>
      </c>
      <c r="T676" t="str">
        <f t="shared" si="10"/>
        <v>Very High Discount</v>
      </c>
    </row>
    <row r="677" spans="1:20" x14ac:dyDescent="0.25">
      <c r="A677" t="s">
        <v>237</v>
      </c>
      <c r="B677" t="s">
        <v>54</v>
      </c>
      <c r="C677" t="s">
        <v>55</v>
      </c>
      <c r="D677" t="s">
        <v>22</v>
      </c>
      <c r="E677" t="s">
        <v>23</v>
      </c>
      <c r="F677" t="s">
        <v>57</v>
      </c>
      <c r="G677" s="1">
        <v>10</v>
      </c>
      <c r="H677" s="1">
        <v>20</v>
      </c>
      <c r="I677">
        <v>267</v>
      </c>
      <c r="J677" s="2">
        <v>0.15</v>
      </c>
      <c r="K677" s="1">
        <v>5340</v>
      </c>
      <c r="L677" s="1">
        <v>801</v>
      </c>
      <c r="M677" s="1">
        <v>4539</v>
      </c>
      <c r="N677" s="1">
        <v>2670</v>
      </c>
      <c r="O677" s="1">
        <v>1869</v>
      </c>
      <c r="P677">
        <v>1</v>
      </c>
      <c r="Q677">
        <v>10</v>
      </c>
      <c r="R677">
        <v>2013</v>
      </c>
      <c r="S677" s="3">
        <v>41548</v>
      </c>
      <c r="T677" t="str">
        <f t="shared" si="10"/>
        <v>Very High Discount</v>
      </c>
    </row>
    <row r="678" spans="1:20" x14ac:dyDescent="0.25">
      <c r="A678" t="s">
        <v>429</v>
      </c>
      <c r="B678" t="s">
        <v>26</v>
      </c>
      <c r="C678" t="s">
        <v>27</v>
      </c>
      <c r="D678" t="s">
        <v>46</v>
      </c>
      <c r="E678" t="s">
        <v>47</v>
      </c>
      <c r="F678" t="s">
        <v>57</v>
      </c>
      <c r="G678" s="1">
        <v>10</v>
      </c>
      <c r="H678" s="1">
        <v>20</v>
      </c>
      <c r="I678">
        <v>1085</v>
      </c>
      <c r="J678" s="2">
        <v>0.15</v>
      </c>
      <c r="K678" s="1">
        <v>21700</v>
      </c>
      <c r="L678" s="1">
        <v>3255</v>
      </c>
      <c r="M678" s="1">
        <v>18445</v>
      </c>
      <c r="N678" s="1">
        <v>10850</v>
      </c>
      <c r="O678" s="1">
        <v>7595</v>
      </c>
      <c r="P678">
        <v>1</v>
      </c>
      <c r="Q678">
        <v>10</v>
      </c>
      <c r="R678">
        <v>2014</v>
      </c>
      <c r="S678" s="3">
        <v>41913</v>
      </c>
      <c r="T678" t="str">
        <f t="shared" si="10"/>
        <v>Very High Discount</v>
      </c>
    </row>
    <row r="679" spans="1:20" x14ac:dyDescent="0.25">
      <c r="A679" t="s">
        <v>433</v>
      </c>
      <c r="B679" t="s">
        <v>26</v>
      </c>
      <c r="C679" t="s">
        <v>27</v>
      </c>
      <c r="D679" t="s">
        <v>31</v>
      </c>
      <c r="E679" t="s">
        <v>32</v>
      </c>
      <c r="F679" t="s">
        <v>57</v>
      </c>
      <c r="G679" s="1">
        <v>10</v>
      </c>
      <c r="H679" s="1">
        <v>20</v>
      </c>
      <c r="I679">
        <v>1175</v>
      </c>
      <c r="J679" s="2">
        <v>0.15</v>
      </c>
      <c r="K679" s="1">
        <v>23500</v>
      </c>
      <c r="L679" s="1">
        <v>3525</v>
      </c>
      <c r="M679" s="1">
        <v>19975</v>
      </c>
      <c r="N679" s="1">
        <v>11750</v>
      </c>
      <c r="O679" s="1">
        <v>8225</v>
      </c>
      <c r="P679">
        <v>1</v>
      </c>
      <c r="Q679">
        <v>10</v>
      </c>
      <c r="R679">
        <v>2014</v>
      </c>
      <c r="S679" s="3">
        <v>41913</v>
      </c>
      <c r="T679" t="str">
        <f t="shared" si="10"/>
        <v>Very High Discount</v>
      </c>
    </row>
    <row r="680" spans="1:20" x14ac:dyDescent="0.25">
      <c r="A680" t="s">
        <v>225</v>
      </c>
      <c r="B680" t="s">
        <v>54</v>
      </c>
      <c r="C680" t="s">
        <v>55</v>
      </c>
      <c r="D680" t="s">
        <v>22</v>
      </c>
      <c r="E680" t="s">
        <v>23</v>
      </c>
      <c r="F680" t="s">
        <v>57</v>
      </c>
      <c r="G680" s="1">
        <v>10</v>
      </c>
      <c r="H680" s="1">
        <v>20</v>
      </c>
      <c r="I680">
        <v>2007</v>
      </c>
      <c r="J680" s="2">
        <v>0.15</v>
      </c>
      <c r="K680" s="1">
        <v>40140</v>
      </c>
      <c r="L680" s="1">
        <v>6021</v>
      </c>
      <c r="M680" s="1">
        <v>34119</v>
      </c>
      <c r="N680" s="1">
        <v>20070</v>
      </c>
      <c r="O680" s="1">
        <v>14049</v>
      </c>
      <c r="P680">
        <v>1</v>
      </c>
      <c r="Q680">
        <v>11</v>
      </c>
      <c r="R680">
        <v>2013</v>
      </c>
      <c r="S680" s="3">
        <v>41579</v>
      </c>
      <c r="T680" t="str">
        <f t="shared" si="10"/>
        <v>Very High Discount</v>
      </c>
    </row>
    <row r="681" spans="1:20" x14ac:dyDescent="0.25">
      <c r="A681" t="s">
        <v>243</v>
      </c>
      <c r="B681" t="s">
        <v>35</v>
      </c>
      <c r="C681" t="s">
        <v>36</v>
      </c>
      <c r="D681" t="s">
        <v>22</v>
      </c>
      <c r="E681" t="s">
        <v>23</v>
      </c>
      <c r="F681" t="s">
        <v>57</v>
      </c>
      <c r="G681" s="1">
        <v>10</v>
      </c>
      <c r="H681" s="1">
        <v>20</v>
      </c>
      <c r="I681">
        <v>2151</v>
      </c>
      <c r="J681" s="2">
        <v>0.15</v>
      </c>
      <c r="K681" s="1">
        <v>43020</v>
      </c>
      <c r="L681" s="1">
        <v>6453</v>
      </c>
      <c r="M681" s="1">
        <v>36567</v>
      </c>
      <c r="N681" s="1">
        <v>21510</v>
      </c>
      <c r="O681" s="1">
        <v>15057</v>
      </c>
      <c r="P681">
        <v>1</v>
      </c>
      <c r="Q681">
        <v>11</v>
      </c>
      <c r="R681">
        <v>2013</v>
      </c>
      <c r="S681" s="3">
        <v>41579</v>
      </c>
      <c r="T681" t="str">
        <f t="shared" si="10"/>
        <v>Very High Discount</v>
      </c>
    </row>
    <row r="682" spans="1:20" x14ac:dyDescent="0.25">
      <c r="A682" t="s">
        <v>434</v>
      </c>
      <c r="B682" t="s">
        <v>54</v>
      </c>
      <c r="C682" t="s">
        <v>55</v>
      </c>
      <c r="D682" t="s">
        <v>41</v>
      </c>
      <c r="E682" t="s">
        <v>42</v>
      </c>
      <c r="F682" t="s">
        <v>57</v>
      </c>
      <c r="G682" s="1">
        <v>10</v>
      </c>
      <c r="H682" s="1">
        <v>20</v>
      </c>
      <c r="I682">
        <v>914</v>
      </c>
      <c r="J682" s="2">
        <v>0.15</v>
      </c>
      <c r="K682" s="1">
        <v>18280</v>
      </c>
      <c r="L682" s="1">
        <v>2742</v>
      </c>
      <c r="M682" s="1">
        <v>15538</v>
      </c>
      <c r="N682" s="1">
        <v>9140</v>
      </c>
      <c r="O682" s="1">
        <v>6398</v>
      </c>
      <c r="P682">
        <v>1</v>
      </c>
      <c r="Q682">
        <v>12</v>
      </c>
      <c r="R682">
        <v>2014</v>
      </c>
      <c r="S682" s="3">
        <v>41974</v>
      </c>
      <c r="T682" t="str">
        <f t="shared" si="10"/>
        <v>Very High Discount</v>
      </c>
    </row>
    <row r="683" spans="1:20" x14ac:dyDescent="0.25">
      <c r="A683" t="s">
        <v>100</v>
      </c>
      <c r="B683" t="s">
        <v>29</v>
      </c>
      <c r="C683" t="s">
        <v>30</v>
      </c>
      <c r="D683" t="s">
        <v>22</v>
      </c>
      <c r="E683" t="s">
        <v>23</v>
      </c>
      <c r="F683" t="s">
        <v>57</v>
      </c>
      <c r="G683" s="1">
        <v>10</v>
      </c>
      <c r="H683" s="1">
        <v>20</v>
      </c>
      <c r="I683">
        <v>293</v>
      </c>
      <c r="J683" s="2">
        <v>0.15</v>
      </c>
      <c r="K683" s="1">
        <v>5860</v>
      </c>
      <c r="L683" s="1">
        <v>879</v>
      </c>
      <c r="M683" s="1">
        <v>4981</v>
      </c>
      <c r="N683" s="1">
        <v>2930</v>
      </c>
      <c r="O683" s="1">
        <v>2051</v>
      </c>
      <c r="P683">
        <v>1</v>
      </c>
      <c r="Q683">
        <v>12</v>
      </c>
      <c r="R683">
        <v>2014</v>
      </c>
      <c r="S683" s="3">
        <v>41974</v>
      </c>
      <c r="T683" t="str">
        <f t="shared" si="10"/>
        <v>Very High Discount</v>
      </c>
    </row>
    <row r="684" spans="1:20" x14ac:dyDescent="0.25">
      <c r="A684" t="s">
        <v>435</v>
      </c>
      <c r="B684" t="s">
        <v>35</v>
      </c>
      <c r="C684" t="s">
        <v>36</v>
      </c>
      <c r="D684" t="s">
        <v>41</v>
      </c>
      <c r="E684" t="s">
        <v>42</v>
      </c>
      <c r="F684" t="s">
        <v>71</v>
      </c>
      <c r="G684" s="1">
        <v>120</v>
      </c>
      <c r="H684" s="1">
        <v>180</v>
      </c>
      <c r="I684">
        <v>500</v>
      </c>
      <c r="J684" s="2">
        <v>0.15</v>
      </c>
      <c r="K684" s="1">
        <v>90000</v>
      </c>
      <c r="L684" s="1">
        <v>13500</v>
      </c>
      <c r="M684" s="1">
        <v>76500</v>
      </c>
      <c r="N684" s="1">
        <v>60000</v>
      </c>
      <c r="O684" s="1">
        <v>16500</v>
      </c>
      <c r="P684">
        <v>1</v>
      </c>
      <c r="Q684">
        <v>3</v>
      </c>
      <c r="R684">
        <v>2014</v>
      </c>
      <c r="S684" s="3">
        <v>41699</v>
      </c>
      <c r="T684" t="str">
        <f t="shared" si="10"/>
        <v>Very High Discount</v>
      </c>
    </row>
    <row r="685" spans="1:20" x14ac:dyDescent="0.25">
      <c r="A685" t="s">
        <v>436</v>
      </c>
      <c r="B685" t="s">
        <v>29</v>
      </c>
      <c r="C685" t="s">
        <v>30</v>
      </c>
      <c r="D685" t="s">
        <v>31</v>
      </c>
      <c r="E685" t="s">
        <v>32</v>
      </c>
      <c r="F685" t="s">
        <v>71</v>
      </c>
      <c r="G685" s="1">
        <v>120</v>
      </c>
      <c r="H685" s="1">
        <v>180</v>
      </c>
      <c r="I685">
        <v>2826</v>
      </c>
      <c r="J685" s="2">
        <v>0.15</v>
      </c>
      <c r="K685" s="1">
        <v>508680</v>
      </c>
      <c r="L685" s="1">
        <v>76302</v>
      </c>
      <c r="M685" s="1">
        <v>432378</v>
      </c>
      <c r="N685" s="1">
        <v>339120</v>
      </c>
      <c r="O685" s="1">
        <v>93258</v>
      </c>
      <c r="P685">
        <v>1</v>
      </c>
      <c r="Q685">
        <v>5</v>
      </c>
      <c r="R685">
        <v>2014</v>
      </c>
      <c r="S685" s="3">
        <v>41760</v>
      </c>
      <c r="T685" t="str">
        <f t="shared" si="10"/>
        <v>Very High Discount</v>
      </c>
    </row>
    <row r="686" spans="1:20" x14ac:dyDescent="0.25">
      <c r="A686" t="s">
        <v>437</v>
      </c>
      <c r="B686" t="s">
        <v>29</v>
      </c>
      <c r="C686" t="s">
        <v>30</v>
      </c>
      <c r="D686" t="s">
        <v>46</v>
      </c>
      <c r="E686" t="s">
        <v>47</v>
      </c>
      <c r="F686" t="s">
        <v>71</v>
      </c>
      <c r="G686" s="1">
        <v>120</v>
      </c>
      <c r="H686" s="1">
        <v>180</v>
      </c>
      <c r="I686">
        <v>663</v>
      </c>
      <c r="J686" s="2">
        <v>0.15</v>
      </c>
      <c r="K686" s="1">
        <v>119340</v>
      </c>
      <c r="L686" s="1">
        <v>17901</v>
      </c>
      <c r="M686" s="1">
        <v>101439</v>
      </c>
      <c r="N686" s="1">
        <v>79560</v>
      </c>
      <c r="O686" s="1">
        <v>21879</v>
      </c>
      <c r="P686">
        <v>1</v>
      </c>
      <c r="Q686">
        <v>9</v>
      </c>
      <c r="R686">
        <v>2014</v>
      </c>
      <c r="S686" s="3">
        <v>41883</v>
      </c>
      <c r="T686" t="str">
        <f t="shared" si="10"/>
        <v>Very High Discount</v>
      </c>
    </row>
    <row r="687" spans="1:20" x14ac:dyDescent="0.25">
      <c r="A687" t="s">
        <v>438</v>
      </c>
      <c r="B687" t="s">
        <v>54</v>
      </c>
      <c r="C687" t="s">
        <v>55</v>
      </c>
      <c r="D687" t="s">
        <v>49</v>
      </c>
      <c r="E687" t="s">
        <v>50</v>
      </c>
      <c r="F687" t="s">
        <v>71</v>
      </c>
      <c r="G687" s="1">
        <v>120</v>
      </c>
      <c r="H687" s="1">
        <v>180</v>
      </c>
      <c r="I687">
        <v>2574</v>
      </c>
      <c r="J687" s="2">
        <v>0.15</v>
      </c>
      <c r="K687" s="1">
        <v>463320</v>
      </c>
      <c r="L687" s="1">
        <v>69498</v>
      </c>
      <c r="M687" s="1">
        <v>393822</v>
      </c>
      <c r="N687" s="1">
        <v>308880</v>
      </c>
      <c r="O687" s="1">
        <v>84942</v>
      </c>
      <c r="P687">
        <v>1</v>
      </c>
      <c r="Q687">
        <v>11</v>
      </c>
      <c r="R687">
        <v>2013</v>
      </c>
      <c r="S687" s="3">
        <v>41579</v>
      </c>
      <c r="T687" t="str">
        <f t="shared" si="10"/>
        <v>Very High Discount</v>
      </c>
    </row>
    <row r="688" spans="1:20" x14ac:dyDescent="0.25">
      <c r="A688" t="s">
        <v>439</v>
      </c>
      <c r="B688" t="s">
        <v>54</v>
      </c>
      <c r="C688" t="s">
        <v>55</v>
      </c>
      <c r="D688" t="s">
        <v>46</v>
      </c>
      <c r="E688" t="s">
        <v>47</v>
      </c>
      <c r="F688" t="s">
        <v>71</v>
      </c>
      <c r="G688" s="1">
        <v>120</v>
      </c>
      <c r="H688" s="1">
        <v>180</v>
      </c>
      <c r="I688">
        <v>2438</v>
      </c>
      <c r="J688" s="2">
        <v>0.15</v>
      </c>
      <c r="K688" s="1">
        <v>438840</v>
      </c>
      <c r="L688" s="1">
        <v>65826</v>
      </c>
      <c r="M688" s="1">
        <v>373014</v>
      </c>
      <c r="N688" s="1">
        <v>292560</v>
      </c>
      <c r="O688" s="1">
        <v>80454</v>
      </c>
      <c r="P688">
        <v>1</v>
      </c>
      <c r="Q688">
        <v>12</v>
      </c>
      <c r="R688">
        <v>2013</v>
      </c>
      <c r="S688" s="3">
        <v>41609</v>
      </c>
      <c r="T688" t="str">
        <f t="shared" si="10"/>
        <v>Very High Discount</v>
      </c>
    </row>
    <row r="689" spans="1:20" x14ac:dyDescent="0.25">
      <c r="A689" t="s">
        <v>434</v>
      </c>
      <c r="B689" t="s">
        <v>54</v>
      </c>
      <c r="C689" t="s">
        <v>55</v>
      </c>
      <c r="D689" t="s">
        <v>41</v>
      </c>
      <c r="E689" t="s">
        <v>42</v>
      </c>
      <c r="F689" t="s">
        <v>71</v>
      </c>
      <c r="G689" s="1">
        <v>120</v>
      </c>
      <c r="H689" s="1">
        <v>180</v>
      </c>
      <c r="I689">
        <v>914</v>
      </c>
      <c r="J689" s="2">
        <v>0.15</v>
      </c>
      <c r="K689" s="1">
        <v>164520</v>
      </c>
      <c r="L689" s="1">
        <v>24678</v>
      </c>
      <c r="M689" s="1">
        <v>139842</v>
      </c>
      <c r="N689" s="1">
        <v>109680</v>
      </c>
      <c r="O689" s="1">
        <v>30162</v>
      </c>
      <c r="P689">
        <v>1</v>
      </c>
      <c r="Q689">
        <v>12</v>
      </c>
      <c r="R689">
        <v>2014</v>
      </c>
      <c r="S689" s="3">
        <v>41974</v>
      </c>
      <c r="T689" t="str">
        <f t="shared" si="10"/>
        <v>Very High Discount</v>
      </c>
    </row>
    <row r="690" spans="1:20" x14ac:dyDescent="0.25">
      <c r="A690" t="s">
        <v>322</v>
      </c>
      <c r="B690" t="s">
        <v>20</v>
      </c>
      <c r="C690" t="s">
        <v>21</v>
      </c>
      <c r="D690" t="s">
        <v>22</v>
      </c>
      <c r="E690" t="s">
        <v>23</v>
      </c>
      <c r="F690" t="s">
        <v>76</v>
      </c>
      <c r="G690" s="1">
        <v>250</v>
      </c>
      <c r="H690" s="1">
        <v>300</v>
      </c>
      <c r="I690">
        <v>865</v>
      </c>
      <c r="J690" s="2">
        <v>0.15</v>
      </c>
      <c r="K690" s="1">
        <v>259500</v>
      </c>
      <c r="L690" s="1">
        <v>38947.5</v>
      </c>
      <c r="M690" s="1">
        <v>220552.5</v>
      </c>
      <c r="N690" s="1">
        <v>216250</v>
      </c>
      <c r="O690" s="1">
        <v>4302.5</v>
      </c>
      <c r="P690">
        <v>1</v>
      </c>
      <c r="Q690">
        <v>7</v>
      </c>
      <c r="R690">
        <v>2014</v>
      </c>
      <c r="S690" s="3">
        <v>41821</v>
      </c>
      <c r="T690" t="str">
        <f t="shared" si="10"/>
        <v>Very High Discount</v>
      </c>
    </row>
    <row r="691" spans="1:20" x14ac:dyDescent="0.25">
      <c r="A691" t="s">
        <v>440</v>
      </c>
      <c r="B691" t="s">
        <v>26</v>
      </c>
      <c r="C691" t="s">
        <v>27</v>
      </c>
      <c r="D691" t="s">
        <v>31</v>
      </c>
      <c r="E691" t="s">
        <v>32</v>
      </c>
      <c r="F691" t="s">
        <v>76</v>
      </c>
      <c r="G691" s="1">
        <v>250</v>
      </c>
      <c r="H691" s="1">
        <v>300</v>
      </c>
      <c r="I691">
        <v>492</v>
      </c>
      <c r="J691" s="2">
        <v>0.15</v>
      </c>
      <c r="K691" s="1">
        <v>147600</v>
      </c>
      <c r="L691" s="1">
        <v>22140</v>
      </c>
      <c r="M691" s="1">
        <v>125460</v>
      </c>
      <c r="N691" s="1">
        <v>123000</v>
      </c>
      <c r="O691" s="1">
        <v>2460</v>
      </c>
      <c r="P691">
        <v>1</v>
      </c>
      <c r="Q691">
        <v>7</v>
      </c>
      <c r="R691">
        <v>2014</v>
      </c>
      <c r="S691" s="3">
        <v>41821</v>
      </c>
      <c r="T691" t="str">
        <f t="shared" si="10"/>
        <v>Very High Discount</v>
      </c>
    </row>
    <row r="692" spans="1:20" x14ac:dyDescent="0.25">
      <c r="A692" t="s">
        <v>237</v>
      </c>
      <c r="B692" t="s">
        <v>54</v>
      </c>
      <c r="C692" t="s">
        <v>55</v>
      </c>
      <c r="D692" t="s">
        <v>22</v>
      </c>
      <c r="E692" t="s">
        <v>23</v>
      </c>
      <c r="F692" t="s">
        <v>76</v>
      </c>
      <c r="G692" s="1">
        <v>250</v>
      </c>
      <c r="H692" s="1">
        <v>300</v>
      </c>
      <c r="I692">
        <v>267</v>
      </c>
      <c r="J692" s="2">
        <v>0.15</v>
      </c>
      <c r="K692" s="1">
        <v>80100</v>
      </c>
      <c r="L692" s="1">
        <v>12015</v>
      </c>
      <c r="M692" s="1">
        <v>68085</v>
      </c>
      <c r="N692" s="1">
        <v>66750</v>
      </c>
      <c r="O692" s="1">
        <v>1335</v>
      </c>
      <c r="P692">
        <v>1</v>
      </c>
      <c r="Q692">
        <v>10</v>
      </c>
      <c r="R692">
        <v>2013</v>
      </c>
      <c r="S692" s="3">
        <v>41548</v>
      </c>
      <c r="T692" t="str">
        <f t="shared" si="10"/>
        <v>Very High Discount</v>
      </c>
    </row>
    <row r="693" spans="1:20" x14ac:dyDescent="0.25">
      <c r="A693" t="s">
        <v>433</v>
      </c>
      <c r="B693" t="s">
        <v>26</v>
      </c>
      <c r="C693" t="s">
        <v>27</v>
      </c>
      <c r="D693" t="s">
        <v>31</v>
      </c>
      <c r="E693" t="s">
        <v>32</v>
      </c>
      <c r="F693" t="s">
        <v>76</v>
      </c>
      <c r="G693" s="1">
        <v>250</v>
      </c>
      <c r="H693" s="1">
        <v>300</v>
      </c>
      <c r="I693">
        <v>1175</v>
      </c>
      <c r="J693" s="2">
        <v>0.15</v>
      </c>
      <c r="K693" s="1">
        <v>352500</v>
      </c>
      <c r="L693" s="1">
        <v>52875</v>
      </c>
      <c r="M693" s="1">
        <v>299625</v>
      </c>
      <c r="N693" s="1">
        <v>293750</v>
      </c>
      <c r="O693" s="1">
        <v>5875</v>
      </c>
      <c r="P693">
        <v>1</v>
      </c>
      <c r="Q693">
        <v>10</v>
      </c>
      <c r="R693">
        <v>2014</v>
      </c>
      <c r="S693" s="3">
        <v>41913</v>
      </c>
      <c r="T693" t="str">
        <f t="shared" si="10"/>
        <v>Very High Discount</v>
      </c>
    </row>
    <row r="694" spans="1:20" x14ac:dyDescent="0.25">
      <c r="A694" t="s">
        <v>441</v>
      </c>
      <c r="B694" t="s">
        <v>20</v>
      </c>
      <c r="C694" t="s">
        <v>21</v>
      </c>
      <c r="D694" t="s">
        <v>46</v>
      </c>
      <c r="E694" t="s">
        <v>47</v>
      </c>
      <c r="F694" t="s">
        <v>76</v>
      </c>
      <c r="G694" s="1">
        <v>250</v>
      </c>
      <c r="H694" s="1">
        <v>300</v>
      </c>
      <c r="I694">
        <v>2954</v>
      </c>
      <c r="J694" s="2">
        <v>0.15</v>
      </c>
      <c r="K694" s="1">
        <v>886200</v>
      </c>
      <c r="L694" s="1">
        <v>132930</v>
      </c>
      <c r="M694" s="1">
        <v>753270</v>
      </c>
      <c r="N694" s="1">
        <v>738500</v>
      </c>
      <c r="O694" s="1">
        <v>14770</v>
      </c>
      <c r="P694">
        <v>1</v>
      </c>
      <c r="Q694">
        <v>11</v>
      </c>
      <c r="R694">
        <v>2013</v>
      </c>
      <c r="S694" s="3">
        <v>41579</v>
      </c>
      <c r="T694" t="str">
        <f t="shared" si="10"/>
        <v>Very High Discount</v>
      </c>
    </row>
    <row r="695" spans="1:20" x14ac:dyDescent="0.25">
      <c r="A695" t="s">
        <v>442</v>
      </c>
      <c r="B695" t="s">
        <v>26</v>
      </c>
      <c r="C695" t="s">
        <v>27</v>
      </c>
      <c r="D695" t="s">
        <v>46</v>
      </c>
      <c r="E695" t="s">
        <v>47</v>
      </c>
      <c r="F695" t="s">
        <v>76</v>
      </c>
      <c r="G695" s="1">
        <v>250</v>
      </c>
      <c r="H695" s="1">
        <v>300</v>
      </c>
      <c r="I695">
        <v>552</v>
      </c>
      <c r="J695" s="2">
        <v>0.15</v>
      </c>
      <c r="K695" s="1">
        <v>165600</v>
      </c>
      <c r="L695" s="1">
        <v>24840</v>
      </c>
      <c r="M695" s="1">
        <v>140760</v>
      </c>
      <c r="N695" s="1">
        <v>138000</v>
      </c>
      <c r="O695" s="1">
        <v>2760</v>
      </c>
      <c r="P695">
        <v>1</v>
      </c>
      <c r="Q695">
        <v>11</v>
      </c>
      <c r="R695">
        <v>2014</v>
      </c>
      <c r="S695" s="3">
        <v>41944</v>
      </c>
      <c r="T695" t="str">
        <f t="shared" si="10"/>
        <v>Very High Discount</v>
      </c>
    </row>
    <row r="696" spans="1:20" x14ac:dyDescent="0.25">
      <c r="A696" t="s">
        <v>100</v>
      </c>
      <c r="B696" t="s">
        <v>29</v>
      </c>
      <c r="C696" t="s">
        <v>30</v>
      </c>
      <c r="D696" t="s">
        <v>22</v>
      </c>
      <c r="E696" t="s">
        <v>23</v>
      </c>
      <c r="F696" t="s">
        <v>76</v>
      </c>
      <c r="G696" s="1">
        <v>250</v>
      </c>
      <c r="H696" s="1">
        <v>300</v>
      </c>
      <c r="I696">
        <v>293</v>
      </c>
      <c r="J696" s="2">
        <v>0.15</v>
      </c>
      <c r="K696" s="1">
        <v>87900</v>
      </c>
      <c r="L696" s="1">
        <v>13185</v>
      </c>
      <c r="M696" s="1">
        <v>74715</v>
      </c>
      <c r="N696" s="1">
        <v>73250</v>
      </c>
      <c r="O696" s="1">
        <v>1465</v>
      </c>
      <c r="P696">
        <v>1</v>
      </c>
      <c r="Q696">
        <v>12</v>
      </c>
      <c r="R696">
        <v>2014</v>
      </c>
      <c r="S696" s="3">
        <v>41974</v>
      </c>
      <c r="T696" t="str">
        <f t="shared" si="10"/>
        <v>Very High Discount</v>
      </c>
    </row>
    <row r="697" spans="1:20" x14ac:dyDescent="0.25">
      <c r="A697" t="s">
        <v>443</v>
      </c>
      <c r="B697" t="s">
        <v>29</v>
      </c>
      <c r="C697" t="s">
        <v>30</v>
      </c>
      <c r="D697" t="s">
        <v>49</v>
      </c>
      <c r="E697" t="s">
        <v>50</v>
      </c>
      <c r="F697" t="s">
        <v>81</v>
      </c>
      <c r="G697" s="1">
        <v>200</v>
      </c>
      <c r="H697" s="1">
        <v>350</v>
      </c>
      <c r="I697">
        <v>2475</v>
      </c>
      <c r="J697" s="2">
        <v>0.15</v>
      </c>
      <c r="K697" s="1">
        <v>866250</v>
      </c>
      <c r="L697" s="1">
        <v>129937.5</v>
      </c>
      <c r="M697" s="1">
        <v>736312.5</v>
      </c>
      <c r="N697" s="1">
        <v>495000</v>
      </c>
      <c r="O697" s="1">
        <v>241312.5</v>
      </c>
      <c r="P697">
        <v>1</v>
      </c>
      <c r="Q697">
        <v>3</v>
      </c>
      <c r="R697">
        <v>2014</v>
      </c>
      <c r="S697" s="3">
        <v>41699</v>
      </c>
      <c r="T697" t="str">
        <f t="shared" si="10"/>
        <v>Very High Discount</v>
      </c>
    </row>
    <row r="698" spans="1:20" x14ac:dyDescent="0.25">
      <c r="A698" t="s">
        <v>430</v>
      </c>
      <c r="B698" t="s">
        <v>35</v>
      </c>
      <c r="C698" t="s">
        <v>36</v>
      </c>
      <c r="D698" t="s">
        <v>49</v>
      </c>
      <c r="E698" t="s">
        <v>50</v>
      </c>
      <c r="F698" t="s">
        <v>81</v>
      </c>
      <c r="G698" s="1">
        <v>200</v>
      </c>
      <c r="H698" s="1">
        <v>350</v>
      </c>
      <c r="I698">
        <v>546</v>
      </c>
      <c r="J698" s="2">
        <v>0.15</v>
      </c>
      <c r="K698" s="1">
        <v>191100</v>
      </c>
      <c r="L698" s="1">
        <v>28665</v>
      </c>
      <c r="M698" s="1">
        <v>162435</v>
      </c>
      <c r="N698" s="1">
        <v>109200</v>
      </c>
      <c r="O698" s="1">
        <v>53235</v>
      </c>
      <c r="P698">
        <v>1</v>
      </c>
      <c r="Q698">
        <v>10</v>
      </c>
      <c r="R698">
        <v>2014</v>
      </c>
      <c r="S698" s="3">
        <v>41913</v>
      </c>
      <c r="T698" t="str">
        <f t="shared" si="10"/>
        <v>Very High Discount</v>
      </c>
    </row>
    <row r="699" spans="1:20" x14ac:dyDescent="0.25">
      <c r="A699" t="s">
        <v>195</v>
      </c>
      <c r="B699" t="s">
        <v>35</v>
      </c>
      <c r="C699" t="s">
        <v>36</v>
      </c>
      <c r="D699" t="s">
        <v>22</v>
      </c>
      <c r="E699" t="s">
        <v>23</v>
      </c>
      <c r="F699" t="s">
        <v>39</v>
      </c>
      <c r="G699" s="1">
        <v>5</v>
      </c>
      <c r="H699" s="1">
        <v>15</v>
      </c>
      <c r="I699">
        <v>1368</v>
      </c>
      <c r="J699" s="2">
        <v>0.15000000000000002</v>
      </c>
      <c r="K699" s="1">
        <v>20520</v>
      </c>
      <c r="L699" s="1">
        <v>3078.0000000000005</v>
      </c>
      <c r="M699" s="1">
        <v>17442</v>
      </c>
      <c r="N699" s="1">
        <v>6840</v>
      </c>
      <c r="O699" s="1">
        <v>10602</v>
      </c>
      <c r="P699">
        <v>1</v>
      </c>
      <c r="Q699">
        <v>2</v>
      </c>
      <c r="R699">
        <v>2014</v>
      </c>
      <c r="S699" s="3">
        <v>41671</v>
      </c>
      <c r="T699" t="str">
        <f t="shared" si="10"/>
        <v>Very High Discount</v>
      </c>
    </row>
    <row r="700" spans="1:20" x14ac:dyDescent="0.25">
      <c r="A700" t="s">
        <v>118</v>
      </c>
      <c r="B700" t="s">
        <v>20</v>
      </c>
      <c r="C700" t="s">
        <v>21</v>
      </c>
      <c r="D700" t="s">
        <v>22</v>
      </c>
      <c r="E700" t="s">
        <v>23</v>
      </c>
      <c r="F700" t="s">
        <v>57</v>
      </c>
      <c r="G700" s="1">
        <v>10</v>
      </c>
      <c r="H700" s="1">
        <v>20</v>
      </c>
      <c r="I700">
        <v>723</v>
      </c>
      <c r="J700" s="2">
        <v>0.15</v>
      </c>
      <c r="K700" s="1">
        <v>14460</v>
      </c>
      <c r="L700" s="1">
        <v>2169</v>
      </c>
      <c r="M700" s="1">
        <v>12291</v>
      </c>
      <c r="N700" s="1">
        <v>7230</v>
      </c>
      <c r="O700" s="1">
        <v>5061</v>
      </c>
      <c r="P700">
        <v>1</v>
      </c>
      <c r="Q700">
        <v>4</v>
      </c>
      <c r="R700">
        <v>2014</v>
      </c>
      <c r="S700" s="3">
        <v>41730</v>
      </c>
      <c r="T700" t="str">
        <f t="shared" si="10"/>
        <v>Very High Discount</v>
      </c>
    </row>
    <row r="701" spans="1:20" x14ac:dyDescent="0.25">
      <c r="A701" t="s">
        <v>444</v>
      </c>
      <c r="B701" t="s">
        <v>54</v>
      </c>
      <c r="C701" t="s">
        <v>55</v>
      </c>
      <c r="D701" t="s">
        <v>41</v>
      </c>
      <c r="E701" t="s">
        <v>42</v>
      </c>
      <c r="F701" t="s">
        <v>76</v>
      </c>
      <c r="G701" s="1">
        <v>250</v>
      </c>
      <c r="H701" s="1">
        <v>300</v>
      </c>
      <c r="I701">
        <v>1806</v>
      </c>
      <c r="J701" s="2">
        <v>0.15000000000000002</v>
      </c>
      <c r="K701" s="1">
        <v>541800</v>
      </c>
      <c r="L701" s="1">
        <v>81270.000000000015</v>
      </c>
      <c r="M701" s="1">
        <v>460530</v>
      </c>
      <c r="N701" s="1">
        <v>451500</v>
      </c>
      <c r="O701" s="1">
        <v>9030</v>
      </c>
      <c r="P701">
        <v>1</v>
      </c>
      <c r="Q701">
        <v>5</v>
      </c>
      <c r="R701">
        <v>2014</v>
      </c>
      <c r="S701" s="3">
        <v>41760</v>
      </c>
      <c r="T701" t="str">
        <f t="shared" si="10"/>
        <v>Very High Discount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19AF8-DBCB-4278-91A7-EA6EA1B963A0}">
  <dimension ref="A1:B17"/>
  <sheetViews>
    <sheetView workbookViewId="0">
      <selection activeCell="D5" sqref="D5"/>
    </sheetView>
  </sheetViews>
  <sheetFormatPr defaultRowHeight="15" x14ac:dyDescent="0.25"/>
  <cols>
    <col min="1" max="1" width="11.140625" bestFit="1" customWidth="1"/>
    <col min="2" max="2" width="16.85546875" bestFit="1" customWidth="1"/>
  </cols>
  <sheetData>
    <row r="1" spans="1:2" x14ac:dyDescent="0.25">
      <c r="A1" t="s">
        <v>462</v>
      </c>
      <c r="B1" t="s">
        <v>463</v>
      </c>
    </row>
    <row r="2" spans="1:2" x14ac:dyDescent="0.25">
      <c r="A2" s="12">
        <v>41518</v>
      </c>
      <c r="B2" s="11">
        <v>6117183.9499999983</v>
      </c>
    </row>
    <row r="3" spans="1:2" x14ac:dyDescent="0.25">
      <c r="A3" s="12">
        <v>41548</v>
      </c>
      <c r="B3" s="11">
        <v>11188753.5</v>
      </c>
    </row>
    <row r="4" spans="1:2" x14ac:dyDescent="0.25">
      <c r="A4" s="12">
        <v>41579</v>
      </c>
      <c r="B4" s="11">
        <v>7630026.9500000002</v>
      </c>
    </row>
    <row r="5" spans="1:2" x14ac:dyDescent="0.25">
      <c r="A5" s="12">
        <v>41609</v>
      </c>
      <c r="B5" s="11">
        <v>6497387.0500000007</v>
      </c>
    </row>
    <row r="6" spans="1:2" x14ac:dyDescent="0.25">
      <c r="A6" s="12">
        <v>41640</v>
      </c>
      <c r="B6" s="11">
        <v>8236148.2257142868</v>
      </c>
    </row>
    <row r="7" spans="1:2" x14ac:dyDescent="0.25">
      <c r="A7" s="12">
        <v>41671</v>
      </c>
      <c r="B7" s="11">
        <v>7837279.5000000009</v>
      </c>
    </row>
    <row r="8" spans="1:2" x14ac:dyDescent="0.25">
      <c r="A8" s="12">
        <v>41699</v>
      </c>
      <c r="B8" s="11">
        <v>6131979.2000000002</v>
      </c>
    </row>
    <row r="9" spans="1:2" x14ac:dyDescent="0.25">
      <c r="A9" s="12">
        <v>41730</v>
      </c>
      <c r="B9" s="11">
        <v>9126710.0599142853</v>
      </c>
    </row>
    <row r="10" spans="1:2" x14ac:dyDescent="0.25">
      <c r="A10" s="12">
        <v>41760</v>
      </c>
      <c r="B10" s="11">
        <v>6483235.5999999996</v>
      </c>
    </row>
    <row r="11" spans="1:2" x14ac:dyDescent="0.25">
      <c r="A11" s="12">
        <v>41791</v>
      </c>
      <c r="B11" s="11">
        <v>13302620.449999999</v>
      </c>
    </row>
    <row r="12" spans="1:2" x14ac:dyDescent="0.25">
      <c r="A12" s="12">
        <v>41821</v>
      </c>
      <c r="B12" s="11">
        <v>7899817.2416666662</v>
      </c>
    </row>
    <row r="13" spans="1:2" x14ac:dyDescent="0.25">
      <c r="A13" s="12">
        <v>41852</v>
      </c>
      <c r="B13" s="11">
        <v>7779475.6000000006</v>
      </c>
    </row>
    <row r="14" spans="1:2" x14ac:dyDescent="0.25">
      <c r="A14" s="12">
        <v>41883</v>
      </c>
      <c r="B14" s="11">
        <v>6907868.9000000004</v>
      </c>
    </row>
    <row r="15" spans="1:2" x14ac:dyDescent="0.25">
      <c r="A15" s="12">
        <v>41913</v>
      </c>
      <c r="B15" s="11">
        <v>12611631.199999999</v>
      </c>
    </row>
    <row r="16" spans="1:2" x14ac:dyDescent="0.25">
      <c r="A16" s="12">
        <v>41944</v>
      </c>
      <c r="B16" s="11">
        <v>6078227.9500000002</v>
      </c>
    </row>
    <row r="17" spans="1:2" x14ac:dyDescent="0.25">
      <c r="A17" s="12">
        <v>41974</v>
      </c>
      <c r="B17" s="11">
        <v>11359852.649999999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4F345-52A5-47B1-ACE5-F0D46E0E4A75}">
  <dimension ref="A1:C9"/>
  <sheetViews>
    <sheetView workbookViewId="0">
      <selection activeCell="B8" sqref="B8"/>
    </sheetView>
  </sheetViews>
  <sheetFormatPr defaultRowHeight="15" x14ac:dyDescent="0.25"/>
  <cols>
    <col min="1" max="1" width="41.85546875" bestFit="1" customWidth="1"/>
    <col min="2" max="2" width="11.140625" bestFit="1" customWidth="1"/>
    <col min="3" max="3" width="7.140625" customWidth="1"/>
  </cols>
  <sheetData>
    <row r="1" spans="1:3" x14ac:dyDescent="0.25">
      <c r="A1" s="6" t="s">
        <v>445</v>
      </c>
      <c r="B1" s="6" t="s">
        <v>446</v>
      </c>
      <c r="C1" s="6" t="s">
        <v>447</v>
      </c>
    </row>
    <row r="2" spans="1:3" x14ac:dyDescent="0.25">
      <c r="A2" s="4" t="s">
        <v>448</v>
      </c>
      <c r="B2" s="5">
        <v>854023</v>
      </c>
      <c r="C2" s="7">
        <v>2013</v>
      </c>
    </row>
    <row r="3" spans="1:3" x14ac:dyDescent="0.25">
      <c r="A3" s="4" t="s">
        <v>449</v>
      </c>
      <c r="B3" s="5">
        <v>2895322</v>
      </c>
      <c r="C3" s="7">
        <v>2013</v>
      </c>
    </row>
    <row r="4" spans="1:3" x14ac:dyDescent="0.25">
      <c r="A4" s="4" t="s">
        <v>450</v>
      </c>
      <c r="B4" s="5">
        <v>1037476</v>
      </c>
      <c r="C4" s="7">
        <v>2013</v>
      </c>
    </row>
    <row r="5" spans="1:3" x14ac:dyDescent="0.25">
      <c r="A5" s="4" t="s">
        <v>448</v>
      </c>
      <c r="B5" s="5">
        <v>3532853</v>
      </c>
      <c r="C5" s="7">
        <v>2014</v>
      </c>
    </row>
    <row r="6" spans="1:3" x14ac:dyDescent="0.25">
      <c r="A6" s="4" t="s">
        <v>449</v>
      </c>
      <c r="B6" s="5">
        <v>9213451</v>
      </c>
      <c r="C6" s="7">
        <v>2014</v>
      </c>
    </row>
    <row r="7" spans="1:3" x14ac:dyDescent="0.25">
      <c r="A7" s="4" t="s">
        <v>450</v>
      </c>
      <c r="B7" s="5">
        <v>3659693</v>
      </c>
      <c r="C7" s="7">
        <v>2014</v>
      </c>
    </row>
    <row r="8" spans="1:3" x14ac:dyDescent="0.25">
      <c r="A8" s="4" t="s">
        <v>451</v>
      </c>
      <c r="B8" s="5">
        <v>39582132</v>
      </c>
      <c r="C8" s="7">
        <v>2015</v>
      </c>
    </row>
    <row r="9" spans="1:3" x14ac:dyDescent="0.25">
      <c r="A9" s="4" t="s">
        <v>452</v>
      </c>
      <c r="B9" s="5">
        <v>16652123</v>
      </c>
      <c r="C9" s="7">
        <v>2015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A2D9-7004-43C6-8B6A-5BE2DDDBFBBD}">
  <dimension ref="A1:M15"/>
  <sheetViews>
    <sheetView tabSelected="1" workbookViewId="0">
      <selection activeCell="H14" sqref="H14"/>
    </sheetView>
  </sheetViews>
  <sheetFormatPr defaultRowHeight="15" x14ac:dyDescent="0.25"/>
  <cols>
    <col min="1" max="1" width="18.42578125" bestFit="1" customWidth="1"/>
    <col min="2" max="2" width="16.5703125" bestFit="1" customWidth="1"/>
    <col min="4" max="4" width="17.7109375" bestFit="1" customWidth="1"/>
    <col min="6" max="6" width="17.7109375" bestFit="1" customWidth="1"/>
    <col min="8" max="8" width="15" bestFit="1" customWidth="1"/>
    <col min="11" max="11" width="16" bestFit="1" customWidth="1"/>
    <col min="12" max="12" width="15" bestFit="1" customWidth="1"/>
    <col min="13" max="13" width="16" bestFit="1" customWidth="1"/>
  </cols>
  <sheetData>
    <row r="1" spans="1:13" x14ac:dyDescent="0.25">
      <c r="B1">
        <v>2013</v>
      </c>
      <c r="D1">
        <v>2014</v>
      </c>
      <c r="F1" t="s">
        <v>461</v>
      </c>
      <c r="H1">
        <v>2015</v>
      </c>
      <c r="J1" t="s">
        <v>464</v>
      </c>
      <c r="K1" s="13" t="s">
        <v>465</v>
      </c>
      <c r="L1" s="13" t="s">
        <v>466</v>
      </c>
      <c r="M1" s="13" t="s">
        <v>467</v>
      </c>
    </row>
    <row r="2" spans="1:13" x14ac:dyDescent="0.25">
      <c r="A2" t="s">
        <v>12</v>
      </c>
      <c r="B2" s="8">
        <v>31433351.449999996</v>
      </c>
      <c r="C2" s="9"/>
      <c r="D2" s="8">
        <v>103754846.57729521</v>
      </c>
      <c r="E2" s="2"/>
      <c r="F2" s="8">
        <f>B2+D2</f>
        <v>135188198.0272952</v>
      </c>
      <c r="H2" s="11">
        <v>39582132</v>
      </c>
      <c r="I2" s="2"/>
      <c r="J2" s="14">
        <v>42005</v>
      </c>
      <c r="K2" s="11">
        <v>6866203.7409745017</v>
      </c>
      <c r="L2" s="11">
        <v>3032880.1359244161</v>
      </c>
      <c r="M2" s="11">
        <v>10699527.34602459</v>
      </c>
    </row>
    <row r="3" spans="1:13" x14ac:dyDescent="0.25">
      <c r="A3" t="s">
        <v>453</v>
      </c>
      <c r="B3" s="8">
        <v>-22968202</v>
      </c>
      <c r="C3" s="9">
        <f>(-B3)/$B$2</f>
        <v>0.73069529466289229</v>
      </c>
      <c r="D3" s="8">
        <v>-74373572</v>
      </c>
      <c r="E3" s="2">
        <f>(-D3)/$D$2</f>
        <v>0.71682022048573146</v>
      </c>
      <c r="F3" s="8">
        <f t="shared" ref="F3:F9" si="0">B3+D3</f>
        <v>-97341774</v>
      </c>
      <c r="G3" s="2">
        <f>(C3+E3)/2</f>
        <v>0.72375775757431193</v>
      </c>
      <c r="H3" s="11"/>
      <c r="I3" s="2"/>
      <c r="J3" s="14">
        <v>42036</v>
      </c>
      <c r="K3" s="11">
        <v>9310281.7606976144</v>
      </c>
      <c r="L3" s="11">
        <v>4946647.7686654981</v>
      </c>
      <c r="M3" s="11">
        <v>13673915.752729731</v>
      </c>
    </row>
    <row r="4" spans="1:13" x14ac:dyDescent="0.25">
      <c r="A4" t="s">
        <v>454</v>
      </c>
      <c r="B4" s="8">
        <v>8465149.4499999955</v>
      </c>
      <c r="C4" s="9"/>
      <c r="D4" s="8">
        <v>29381274.577295214</v>
      </c>
      <c r="E4" s="2"/>
      <c r="F4" s="8">
        <f t="shared" si="0"/>
        <v>37846424.027295209</v>
      </c>
      <c r="G4" s="2"/>
      <c r="H4" s="11"/>
      <c r="I4" s="2"/>
      <c r="J4" s="14">
        <v>42064</v>
      </c>
      <c r="K4" s="11">
        <v>7980957.3102502646</v>
      </c>
      <c r="L4" s="11">
        <v>3472385.056585995</v>
      </c>
      <c r="M4" s="11">
        <v>12489529.56391453</v>
      </c>
    </row>
    <row r="5" spans="1:13" x14ac:dyDescent="0.25">
      <c r="A5" t="s">
        <v>455</v>
      </c>
      <c r="B5" s="8">
        <v>-854023</v>
      </c>
      <c r="C5" s="9">
        <f t="shared" ref="C5:C8" si="1">(-B5)/$B$2</f>
        <v>2.7169326864762304E-2</v>
      </c>
      <c r="D5" s="8">
        <v>-3532853</v>
      </c>
      <c r="E5" s="2">
        <f t="shared" ref="E5:E8" si="2">(-D5)/$D$2</f>
        <v>3.405000456887667E-2</v>
      </c>
      <c r="F5" s="8">
        <f t="shared" si="0"/>
        <v>-4386876</v>
      </c>
      <c r="G5" s="2">
        <f t="shared" ref="G5:G9" si="3">(C5+E5)/2</f>
        <v>3.0609665716819487E-2</v>
      </c>
      <c r="H5" s="11"/>
      <c r="I5" s="2"/>
      <c r="J5" s="14">
        <v>42095</v>
      </c>
      <c r="K5" s="11">
        <v>8703971.6658874638</v>
      </c>
      <c r="L5" s="11">
        <v>4153408.0696987831</v>
      </c>
      <c r="M5" s="11">
        <v>13254535.262076151</v>
      </c>
    </row>
    <row r="6" spans="1:13" x14ac:dyDescent="0.25">
      <c r="A6" t="s">
        <v>456</v>
      </c>
      <c r="B6" s="8">
        <v>-2895322</v>
      </c>
      <c r="C6" s="9">
        <f t="shared" si="1"/>
        <v>9.2109872681107333E-2</v>
      </c>
      <c r="D6" s="8">
        <v>-9213451</v>
      </c>
      <c r="E6" s="2">
        <f t="shared" si="2"/>
        <v>8.8800198775641478E-2</v>
      </c>
      <c r="F6" s="8">
        <f t="shared" si="0"/>
        <v>-12108773</v>
      </c>
      <c r="G6" s="2">
        <f t="shared" si="3"/>
        <v>9.0455035728374406E-2</v>
      </c>
      <c r="H6" s="11"/>
      <c r="I6" s="2"/>
      <c r="J6" s="14">
        <v>42125</v>
      </c>
      <c r="K6" s="11">
        <v>8310726.9931654986</v>
      </c>
      <c r="L6" s="11">
        <v>3747815.4608406168</v>
      </c>
      <c r="M6" s="11">
        <v>12873638.525490381</v>
      </c>
    </row>
    <row r="7" spans="1:13" x14ac:dyDescent="0.25">
      <c r="A7" t="s">
        <v>457</v>
      </c>
      <c r="B7" s="8">
        <v>4715804.4499999955</v>
      </c>
      <c r="C7" s="9"/>
      <c r="D7" s="8">
        <v>16634970.577295214</v>
      </c>
      <c r="E7" s="2"/>
      <c r="F7" s="8">
        <f t="shared" si="0"/>
        <v>21350775.027295209</v>
      </c>
      <c r="G7" s="2"/>
      <c r="H7" s="11"/>
      <c r="I7" s="2"/>
      <c r="J7" s="14">
        <v>42156</v>
      </c>
      <c r="K7" s="11">
        <v>8524611.2285454702</v>
      </c>
      <c r="L7" s="11">
        <v>3958053.2929121088</v>
      </c>
      <c r="M7" s="11">
        <v>13091169.16417883</v>
      </c>
    </row>
    <row r="8" spans="1:13" x14ac:dyDescent="0.25">
      <c r="A8" t="s">
        <v>458</v>
      </c>
      <c r="B8" s="8">
        <v>-1037476</v>
      </c>
      <c r="C8" s="9">
        <f t="shared" si="1"/>
        <v>3.3005580128809338E-2</v>
      </c>
      <c r="D8" s="8">
        <v>-3659693</v>
      </c>
      <c r="E8" s="2">
        <f t="shared" si="2"/>
        <v>3.5272501678016599E-2</v>
      </c>
      <c r="F8" s="8">
        <f t="shared" si="0"/>
        <v>-4697169</v>
      </c>
      <c r="G8" s="2">
        <f t="shared" si="3"/>
        <v>3.4139040903412965E-2</v>
      </c>
      <c r="H8" s="11"/>
      <c r="I8" s="2"/>
      <c r="J8" s="14">
        <v>42186</v>
      </c>
      <c r="K8" s="11">
        <v>8408280.4316717926</v>
      </c>
      <c r="L8" s="11">
        <v>3840644.3642133088</v>
      </c>
      <c r="M8" s="11">
        <v>12975916.499130281</v>
      </c>
    </row>
    <row r="9" spans="1:13" x14ac:dyDescent="0.25">
      <c r="A9" t="s">
        <v>459</v>
      </c>
      <c r="B9" s="8">
        <v>3678328.4499999955</v>
      </c>
      <c r="C9" s="9">
        <f>(B9)/$B$2</f>
        <v>0.11701992566242872</v>
      </c>
      <c r="D9" s="8">
        <v>12975277.577295214</v>
      </c>
      <c r="E9" s="2">
        <f>(D9)/$D$2</f>
        <v>0.12505707449173376</v>
      </c>
      <c r="F9" s="8">
        <f t="shared" si="0"/>
        <v>16653606.027295209</v>
      </c>
      <c r="G9" s="2">
        <f t="shared" si="3"/>
        <v>0.12103850007708124</v>
      </c>
      <c r="H9" s="11">
        <v>16652123</v>
      </c>
      <c r="I9" s="2">
        <f>H9/H2</f>
        <v>0.42069798059386998</v>
      </c>
      <c r="J9" s="14">
        <v>42217</v>
      </c>
      <c r="K9" s="11">
        <v>8471552.2958988287</v>
      </c>
      <c r="L9" s="11">
        <v>3903597.341081481</v>
      </c>
      <c r="M9" s="11">
        <v>13039507.25071618</v>
      </c>
    </row>
    <row r="10" spans="1:13" x14ac:dyDescent="0.25">
      <c r="B10" s="8"/>
      <c r="C10" s="10">
        <f>SUM(C3:C9)</f>
        <v>1</v>
      </c>
      <c r="E10" s="10">
        <f>SUM(E3:E9)</f>
        <v>0.99999999999999989</v>
      </c>
      <c r="G10" s="10">
        <f>SUM(G3:G9)</f>
        <v>1</v>
      </c>
      <c r="J10" s="14">
        <v>42248</v>
      </c>
      <c r="K10" s="11">
        <v>8437138.9770670868</v>
      </c>
      <c r="L10" s="11">
        <v>3869089.6923190649</v>
      </c>
      <c r="M10" s="11">
        <v>13005188.26181511</v>
      </c>
    </row>
    <row r="11" spans="1:13" x14ac:dyDescent="0.25">
      <c r="J11" s="14">
        <v>42278</v>
      </c>
      <c r="K11" s="11">
        <v>8455856.2462274451</v>
      </c>
      <c r="L11" s="11">
        <v>3887779.0568949538</v>
      </c>
      <c r="M11" s="11">
        <v>13023933.43555994</v>
      </c>
    </row>
    <row r="12" spans="1:13" x14ac:dyDescent="0.25">
      <c r="J12" s="14">
        <v>42309</v>
      </c>
      <c r="K12" s="11">
        <v>8445675.9969311114</v>
      </c>
      <c r="L12" s="11">
        <v>3877590.5528149572</v>
      </c>
      <c r="M12" s="11">
        <v>13013761.44104727</v>
      </c>
    </row>
    <row r="13" spans="1:13" x14ac:dyDescent="0.25">
      <c r="J13" s="14">
        <v>42339</v>
      </c>
      <c r="K13" s="11">
        <v>8451212.9946014229</v>
      </c>
      <c r="L13" s="11">
        <v>3883125.10853372</v>
      </c>
      <c r="M13" s="11">
        <v>13019300.880669121</v>
      </c>
    </row>
    <row r="14" spans="1:13" x14ac:dyDescent="0.25">
      <c r="K14" s="11">
        <f>SUM(K2:K13)</f>
        <v>100366469.6419185</v>
      </c>
      <c r="L14" s="11">
        <f t="shared" ref="L14:M14" si="4">SUM(L2:L13)</f>
        <v>46573015.900484897</v>
      </c>
      <c r="M14" s="11">
        <f t="shared" si="4"/>
        <v>154159923.38335213</v>
      </c>
    </row>
    <row r="15" spans="1:13" x14ac:dyDescent="0.25">
      <c r="K15" s="11">
        <f>AVERAGE(K2:K13)</f>
        <v>8363872.4701598743</v>
      </c>
      <c r="L15" s="11">
        <f t="shared" ref="L15:M15" si="5">AVERAGE(L2:L13)</f>
        <v>3881084.6583737414</v>
      </c>
      <c r="M15" s="11">
        <f t="shared" si="5"/>
        <v>12846660.281946011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 Raw</vt:lpstr>
      <vt:lpstr>Forecasting</vt:lpstr>
      <vt:lpstr>Finance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fauzi</dc:creator>
  <cp:lastModifiedBy>fauzi</cp:lastModifiedBy>
  <dcterms:created xsi:type="dcterms:W3CDTF">2026-09-03T13:23:55Z</dcterms:created>
  <dcterms:modified xsi:type="dcterms:W3CDTF">2026-09-20T01:58:07Z</dcterms:modified>
</cp:coreProperties>
</file>